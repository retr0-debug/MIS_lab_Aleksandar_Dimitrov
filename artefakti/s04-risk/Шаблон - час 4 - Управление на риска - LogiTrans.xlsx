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ks\Downloads\"/>
    </mc:Choice>
  </mc:AlternateContent>
  <xr:revisionPtr revIDLastSave="0" documentId="13_ncr:1_{E34523BD-2F67-4899-B3D1-FEAD5229806D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Инструкции" sheetId="1" r:id="rId1"/>
    <sheet name="Скали" sheetId="2" r:id="rId2"/>
    <sheet name="Регистър на активите" sheetId="3" r:id="rId3"/>
    <sheet name="Регистър на риска" sheetId="4" r:id="rId4"/>
    <sheet name="План за третиране" sheetId="5" r:id="rId5"/>
    <sheet name="Heat m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6" l="1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N210" i="5"/>
  <c r="D210" i="5"/>
  <c r="N209" i="5"/>
  <c r="D209" i="5"/>
  <c r="N208" i="5"/>
  <c r="D208" i="5"/>
  <c r="N207" i="5"/>
  <c r="D207" i="5"/>
  <c r="N206" i="5"/>
  <c r="D206" i="5"/>
  <c r="N205" i="5"/>
  <c r="D205" i="5"/>
  <c r="N204" i="5"/>
  <c r="D204" i="5"/>
  <c r="N203" i="5"/>
  <c r="D203" i="5"/>
  <c r="N202" i="5"/>
  <c r="D202" i="5"/>
  <c r="N201" i="5"/>
  <c r="D201" i="5"/>
  <c r="N200" i="5"/>
  <c r="D200" i="5"/>
  <c r="N199" i="5"/>
  <c r="D199" i="5"/>
  <c r="N198" i="5"/>
  <c r="D198" i="5"/>
  <c r="N197" i="5"/>
  <c r="D197" i="5"/>
  <c r="N196" i="5"/>
  <c r="D196" i="5"/>
  <c r="N195" i="5"/>
  <c r="D195" i="5"/>
  <c r="N194" i="5"/>
  <c r="D194" i="5"/>
  <c r="N193" i="5"/>
  <c r="D193" i="5"/>
  <c r="N192" i="5"/>
  <c r="D192" i="5"/>
  <c r="N191" i="5"/>
  <c r="D191" i="5"/>
  <c r="N190" i="5"/>
  <c r="D190" i="5"/>
  <c r="N189" i="5"/>
  <c r="D189" i="5"/>
  <c r="N188" i="5"/>
  <c r="D188" i="5"/>
  <c r="N187" i="5"/>
  <c r="D187" i="5"/>
  <c r="N186" i="5"/>
  <c r="D186" i="5"/>
  <c r="N185" i="5"/>
  <c r="D185" i="5"/>
  <c r="N184" i="5"/>
  <c r="D184" i="5"/>
  <c r="N183" i="5"/>
  <c r="D183" i="5"/>
  <c r="N182" i="5"/>
  <c r="D182" i="5"/>
  <c r="N181" i="5"/>
  <c r="D181" i="5"/>
  <c r="N180" i="5"/>
  <c r="D180" i="5"/>
  <c r="N179" i="5"/>
  <c r="D179" i="5"/>
  <c r="N178" i="5"/>
  <c r="D178" i="5"/>
  <c r="N177" i="5"/>
  <c r="D177" i="5"/>
  <c r="N176" i="5"/>
  <c r="D176" i="5"/>
  <c r="N175" i="5"/>
  <c r="D175" i="5"/>
  <c r="N174" i="5"/>
  <c r="D174" i="5"/>
  <c r="N173" i="5"/>
  <c r="D173" i="5"/>
  <c r="N172" i="5"/>
  <c r="D172" i="5"/>
  <c r="N171" i="5"/>
  <c r="D171" i="5"/>
  <c r="N170" i="5"/>
  <c r="D170" i="5"/>
  <c r="N169" i="5"/>
  <c r="D169" i="5"/>
  <c r="N168" i="5"/>
  <c r="D168" i="5"/>
  <c r="N167" i="5"/>
  <c r="D167" i="5"/>
  <c r="N166" i="5"/>
  <c r="D166" i="5"/>
  <c r="N165" i="5"/>
  <c r="D165" i="5"/>
  <c r="N164" i="5"/>
  <c r="D164" i="5"/>
  <c r="N163" i="5"/>
  <c r="D163" i="5"/>
  <c r="N162" i="5"/>
  <c r="D162" i="5"/>
  <c r="N161" i="5"/>
  <c r="D161" i="5"/>
  <c r="N160" i="5"/>
  <c r="D160" i="5"/>
  <c r="N159" i="5"/>
  <c r="D159" i="5"/>
  <c r="N158" i="5"/>
  <c r="D158" i="5"/>
  <c r="N157" i="5"/>
  <c r="D157" i="5"/>
  <c r="N156" i="5"/>
  <c r="D156" i="5"/>
  <c r="N155" i="5"/>
  <c r="D155" i="5"/>
  <c r="N154" i="5"/>
  <c r="D154" i="5"/>
  <c r="N153" i="5"/>
  <c r="D153" i="5"/>
  <c r="N152" i="5"/>
  <c r="D152" i="5"/>
  <c r="N151" i="5"/>
  <c r="D151" i="5"/>
  <c r="N150" i="5"/>
  <c r="D150" i="5"/>
  <c r="N149" i="5"/>
  <c r="D149" i="5"/>
  <c r="N148" i="5"/>
  <c r="D148" i="5"/>
  <c r="N147" i="5"/>
  <c r="D147" i="5"/>
  <c r="N146" i="5"/>
  <c r="D146" i="5"/>
  <c r="N145" i="5"/>
  <c r="D145" i="5"/>
  <c r="N144" i="5"/>
  <c r="D144" i="5"/>
  <c r="N143" i="5"/>
  <c r="D143" i="5"/>
  <c r="N142" i="5"/>
  <c r="D142" i="5"/>
  <c r="N141" i="5"/>
  <c r="D141" i="5"/>
  <c r="N140" i="5"/>
  <c r="D140" i="5"/>
  <c r="N139" i="5"/>
  <c r="D139" i="5"/>
  <c r="N138" i="5"/>
  <c r="D138" i="5"/>
  <c r="N137" i="5"/>
  <c r="D137" i="5"/>
  <c r="N136" i="5"/>
  <c r="D136" i="5"/>
  <c r="N135" i="5"/>
  <c r="D135" i="5"/>
  <c r="N134" i="5"/>
  <c r="D134" i="5"/>
  <c r="N133" i="5"/>
  <c r="D133" i="5"/>
  <c r="N132" i="5"/>
  <c r="D132" i="5"/>
  <c r="N131" i="5"/>
  <c r="D131" i="5"/>
  <c r="N130" i="5"/>
  <c r="D130" i="5"/>
  <c r="N129" i="5"/>
  <c r="D129" i="5"/>
  <c r="N128" i="5"/>
  <c r="D128" i="5"/>
  <c r="N127" i="5"/>
  <c r="D127" i="5"/>
  <c r="N126" i="5"/>
  <c r="D126" i="5"/>
  <c r="N125" i="5"/>
  <c r="D125" i="5"/>
  <c r="N124" i="5"/>
  <c r="D124" i="5"/>
  <c r="N123" i="5"/>
  <c r="D123" i="5"/>
  <c r="N122" i="5"/>
  <c r="D122" i="5"/>
  <c r="N121" i="5"/>
  <c r="D121" i="5"/>
  <c r="N120" i="5"/>
  <c r="D120" i="5"/>
  <c r="N119" i="5"/>
  <c r="D119" i="5"/>
  <c r="N118" i="5"/>
  <c r="D118" i="5"/>
  <c r="N117" i="5"/>
  <c r="D117" i="5"/>
  <c r="N116" i="5"/>
  <c r="D116" i="5"/>
  <c r="N115" i="5"/>
  <c r="D115" i="5"/>
  <c r="N114" i="5"/>
  <c r="D114" i="5"/>
  <c r="N113" i="5"/>
  <c r="D113" i="5"/>
  <c r="N112" i="5"/>
  <c r="D112" i="5"/>
  <c r="N111" i="5"/>
  <c r="D111" i="5"/>
  <c r="N110" i="5"/>
  <c r="D110" i="5"/>
  <c r="N109" i="5"/>
  <c r="D109" i="5"/>
  <c r="N108" i="5"/>
  <c r="D108" i="5"/>
  <c r="N107" i="5"/>
  <c r="D107" i="5"/>
  <c r="N106" i="5"/>
  <c r="D106" i="5"/>
  <c r="N105" i="5"/>
  <c r="D105" i="5"/>
  <c r="N104" i="5"/>
  <c r="D104" i="5"/>
  <c r="N103" i="5"/>
  <c r="D103" i="5"/>
  <c r="N102" i="5"/>
  <c r="D102" i="5"/>
  <c r="N101" i="5"/>
  <c r="D101" i="5"/>
  <c r="N100" i="5"/>
  <c r="D100" i="5"/>
  <c r="N99" i="5"/>
  <c r="D99" i="5"/>
  <c r="N98" i="5"/>
  <c r="D98" i="5"/>
  <c r="N97" i="5"/>
  <c r="D97" i="5"/>
  <c r="N96" i="5"/>
  <c r="D96" i="5"/>
  <c r="N95" i="5"/>
  <c r="D95" i="5"/>
  <c r="N94" i="5"/>
  <c r="D94" i="5"/>
  <c r="N93" i="5"/>
  <c r="D93" i="5"/>
  <c r="N92" i="5"/>
  <c r="D92" i="5"/>
  <c r="N91" i="5"/>
  <c r="D91" i="5"/>
  <c r="N90" i="5"/>
  <c r="D90" i="5"/>
  <c r="N89" i="5"/>
  <c r="D89" i="5"/>
  <c r="N88" i="5"/>
  <c r="D88" i="5"/>
  <c r="N87" i="5"/>
  <c r="D87" i="5"/>
  <c r="N86" i="5"/>
  <c r="D86" i="5"/>
  <c r="N85" i="5"/>
  <c r="D85" i="5"/>
  <c r="N84" i="5"/>
  <c r="D84" i="5"/>
  <c r="N83" i="5"/>
  <c r="D83" i="5"/>
  <c r="N82" i="5"/>
  <c r="D82" i="5"/>
  <c r="N81" i="5"/>
  <c r="D81" i="5"/>
  <c r="N80" i="5"/>
  <c r="D80" i="5"/>
  <c r="N79" i="5"/>
  <c r="D79" i="5"/>
  <c r="N78" i="5"/>
  <c r="D78" i="5"/>
  <c r="N77" i="5"/>
  <c r="D77" i="5"/>
  <c r="N76" i="5"/>
  <c r="D76" i="5"/>
  <c r="N75" i="5"/>
  <c r="D75" i="5"/>
  <c r="N74" i="5"/>
  <c r="D74" i="5"/>
  <c r="N73" i="5"/>
  <c r="D73" i="5"/>
  <c r="N72" i="5"/>
  <c r="D72" i="5"/>
  <c r="N71" i="5"/>
  <c r="D71" i="5"/>
  <c r="N70" i="5"/>
  <c r="D70" i="5"/>
  <c r="N69" i="5"/>
  <c r="D69" i="5"/>
  <c r="N68" i="5"/>
  <c r="D68" i="5"/>
  <c r="N67" i="5"/>
  <c r="D67" i="5"/>
  <c r="N66" i="5"/>
  <c r="D66" i="5"/>
  <c r="N65" i="5"/>
  <c r="D65" i="5"/>
  <c r="N64" i="5"/>
  <c r="D64" i="5"/>
  <c r="N63" i="5"/>
  <c r="D63" i="5"/>
  <c r="N62" i="5"/>
  <c r="D62" i="5"/>
  <c r="N61" i="5"/>
  <c r="D61" i="5"/>
  <c r="N60" i="5"/>
  <c r="D60" i="5"/>
  <c r="N59" i="5"/>
  <c r="D59" i="5"/>
  <c r="N58" i="5"/>
  <c r="D58" i="5"/>
  <c r="N57" i="5"/>
  <c r="D57" i="5"/>
  <c r="N56" i="5"/>
  <c r="D56" i="5"/>
  <c r="N55" i="5"/>
  <c r="D55" i="5"/>
  <c r="N54" i="5"/>
  <c r="D54" i="5"/>
  <c r="N53" i="5"/>
  <c r="D53" i="5"/>
  <c r="N52" i="5"/>
  <c r="D52" i="5"/>
  <c r="N51" i="5"/>
  <c r="D51" i="5"/>
  <c r="N50" i="5"/>
  <c r="D50" i="5"/>
  <c r="N49" i="5"/>
  <c r="D49" i="5"/>
  <c r="N48" i="5"/>
  <c r="D48" i="5"/>
  <c r="N47" i="5"/>
  <c r="D47" i="5"/>
  <c r="N46" i="5"/>
  <c r="D46" i="5"/>
  <c r="N45" i="5"/>
  <c r="D45" i="5"/>
  <c r="N44" i="5"/>
  <c r="D44" i="5"/>
  <c r="N43" i="5"/>
  <c r="D43" i="5"/>
  <c r="N42" i="5"/>
  <c r="D42" i="5"/>
  <c r="N41" i="5"/>
  <c r="D41" i="5"/>
  <c r="N40" i="5"/>
  <c r="D40" i="5"/>
  <c r="N39" i="5"/>
  <c r="D39" i="5"/>
  <c r="N38" i="5"/>
  <c r="D38" i="5"/>
  <c r="N37" i="5"/>
  <c r="D37" i="5"/>
  <c r="N36" i="5"/>
  <c r="D36" i="5"/>
  <c r="N35" i="5"/>
  <c r="D35" i="5"/>
  <c r="N34" i="5"/>
  <c r="D34" i="5"/>
  <c r="N33" i="5"/>
  <c r="D33" i="5"/>
  <c r="N32" i="5"/>
  <c r="D32" i="5"/>
  <c r="N31" i="5"/>
  <c r="D31" i="5"/>
  <c r="N30" i="5"/>
  <c r="D30" i="5"/>
  <c r="N29" i="5"/>
  <c r="D29" i="5"/>
  <c r="N28" i="5"/>
  <c r="D28" i="5"/>
  <c r="N27" i="5"/>
  <c r="D27" i="5"/>
  <c r="N26" i="5"/>
  <c r="D26" i="5"/>
  <c r="N25" i="5"/>
  <c r="D25" i="5"/>
  <c r="N24" i="5"/>
  <c r="D24" i="5"/>
  <c r="N23" i="5"/>
  <c r="D23" i="5"/>
  <c r="N22" i="5"/>
  <c r="D22" i="5"/>
  <c r="N21" i="5"/>
  <c r="D21" i="5"/>
  <c r="N20" i="5"/>
  <c r="D20" i="5"/>
  <c r="N19" i="5"/>
  <c r="D19" i="5"/>
  <c r="N18" i="5"/>
  <c r="D18" i="5"/>
  <c r="N17" i="5"/>
  <c r="N16" i="5"/>
  <c r="D16" i="5"/>
  <c r="N15" i="5"/>
  <c r="N14" i="5"/>
  <c r="N13" i="5"/>
  <c r="D13" i="5"/>
  <c r="N12" i="5"/>
  <c r="N11" i="5"/>
  <c r="N10" i="5"/>
  <c r="D10" i="5"/>
  <c r="N9" i="5"/>
  <c r="N8" i="5"/>
  <c r="N7" i="5"/>
  <c r="D7" i="5"/>
  <c r="N6" i="5"/>
  <c r="N5" i="5"/>
  <c r="N4" i="5"/>
  <c r="D4" i="5"/>
  <c r="N3" i="5"/>
  <c r="N2" i="5"/>
  <c r="R210" i="4"/>
  <c r="I210" i="4"/>
  <c r="R209" i="4"/>
  <c r="K209" i="4"/>
  <c r="I209" i="4"/>
  <c r="J209" i="4" s="1"/>
  <c r="R208" i="4"/>
  <c r="I208" i="4"/>
  <c r="K208" i="4" s="1"/>
  <c r="R207" i="4"/>
  <c r="I207" i="4"/>
  <c r="R206" i="4"/>
  <c r="I206" i="4"/>
  <c r="J206" i="4" s="1"/>
  <c r="R205" i="4"/>
  <c r="I205" i="4"/>
  <c r="K205" i="4" s="1"/>
  <c r="R204" i="4"/>
  <c r="I204" i="4"/>
  <c r="R203" i="4"/>
  <c r="K203" i="4"/>
  <c r="I203" i="4"/>
  <c r="J203" i="4" s="1"/>
  <c r="R202" i="4"/>
  <c r="I202" i="4"/>
  <c r="K202" i="4" s="1"/>
  <c r="R201" i="4"/>
  <c r="I201" i="4"/>
  <c r="R200" i="4"/>
  <c r="K200" i="4"/>
  <c r="I200" i="4"/>
  <c r="J200" i="4" s="1"/>
  <c r="R199" i="4"/>
  <c r="I199" i="4"/>
  <c r="K199" i="4" s="1"/>
  <c r="R198" i="4"/>
  <c r="I198" i="4"/>
  <c r="R197" i="4"/>
  <c r="I197" i="4"/>
  <c r="J197" i="4" s="1"/>
  <c r="R196" i="4"/>
  <c r="I196" i="4"/>
  <c r="K196" i="4" s="1"/>
  <c r="R195" i="4"/>
  <c r="I195" i="4"/>
  <c r="R194" i="4"/>
  <c r="K194" i="4"/>
  <c r="I194" i="4"/>
  <c r="J194" i="4" s="1"/>
  <c r="R193" i="4"/>
  <c r="I193" i="4"/>
  <c r="K193" i="4" s="1"/>
  <c r="R192" i="4"/>
  <c r="I192" i="4"/>
  <c r="R191" i="4"/>
  <c r="K191" i="4"/>
  <c r="I191" i="4"/>
  <c r="J191" i="4" s="1"/>
  <c r="R190" i="4"/>
  <c r="I190" i="4"/>
  <c r="K190" i="4" s="1"/>
  <c r="R189" i="4"/>
  <c r="I189" i="4"/>
  <c r="R188" i="4"/>
  <c r="I188" i="4"/>
  <c r="J188" i="4" s="1"/>
  <c r="R187" i="4"/>
  <c r="I187" i="4"/>
  <c r="K187" i="4" s="1"/>
  <c r="R186" i="4"/>
  <c r="I186" i="4"/>
  <c r="R185" i="4"/>
  <c r="I185" i="4"/>
  <c r="J185" i="4" s="1"/>
  <c r="R184" i="4"/>
  <c r="I184" i="4"/>
  <c r="K184" i="4" s="1"/>
  <c r="R183" i="4"/>
  <c r="I183" i="4"/>
  <c r="R182" i="4"/>
  <c r="I182" i="4"/>
  <c r="J182" i="4" s="1"/>
  <c r="R181" i="4"/>
  <c r="I181" i="4"/>
  <c r="K181" i="4" s="1"/>
  <c r="R180" i="4"/>
  <c r="I180" i="4"/>
  <c r="J180" i="4" s="1"/>
  <c r="R179" i="4"/>
  <c r="K179" i="4"/>
  <c r="I179" i="4"/>
  <c r="J179" i="4" s="1"/>
  <c r="R178" i="4"/>
  <c r="I178" i="4"/>
  <c r="K178" i="4" s="1"/>
  <c r="R177" i="4"/>
  <c r="I177" i="4"/>
  <c r="J177" i="4" s="1"/>
  <c r="R176" i="4"/>
  <c r="I176" i="4"/>
  <c r="J176" i="4" s="1"/>
  <c r="R175" i="4"/>
  <c r="I175" i="4"/>
  <c r="K175" i="4" s="1"/>
  <c r="R174" i="4"/>
  <c r="K174" i="4"/>
  <c r="I174" i="4"/>
  <c r="J174" i="4" s="1"/>
  <c r="R173" i="4"/>
  <c r="I173" i="4"/>
  <c r="J173" i="4" s="1"/>
  <c r="R172" i="4"/>
  <c r="I172" i="4"/>
  <c r="K172" i="4" s="1"/>
  <c r="R171" i="4"/>
  <c r="I171" i="4"/>
  <c r="J171" i="4" s="1"/>
  <c r="R170" i="4"/>
  <c r="K170" i="4"/>
  <c r="I170" i="4"/>
  <c r="J170" i="4" s="1"/>
  <c r="R169" i="4"/>
  <c r="I169" i="4"/>
  <c r="K169" i="4" s="1"/>
  <c r="R168" i="4"/>
  <c r="I168" i="4"/>
  <c r="J168" i="4" s="1"/>
  <c r="R167" i="4"/>
  <c r="I167" i="4"/>
  <c r="J167" i="4" s="1"/>
  <c r="R166" i="4"/>
  <c r="I166" i="4"/>
  <c r="K166" i="4" s="1"/>
  <c r="R165" i="4"/>
  <c r="K165" i="4"/>
  <c r="I165" i="4"/>
  <c r="J165" i="4" s="1"/>
  <c r="R164" i="4"/>
  <c r="I164" i="4"/>
  <c r="J164" i="4" s="1"/>
  <c r="R163" i="4"/>
  <c r="I163" i="4"/>
  <c r="K163" i="4" s="1"/>
  <c r="R162" i="4"/>
  <c r="I162" i="4"/>
  <c r="J162" i="4" s="1"/>
  <c r="R161" i="4"/>
  <c r="K161" i="4"/>
  <c r="I161" i="4"/>
  <c r="J161" i="4" s="1"/>
  <c r="R160" i="4"/>
  <c r="I160" i="4"/>
  <c r="K160" i="4" s="1"/>
  <c r="R159" i="4"/>
  <c r="I159" i="4"/>
  <c r="J159" i="4" s="1"/>
  <c r="R158" i="4"/>
  <c r="I158" i="4"/>
  <c r="J158" i="4" s="1"/>
  <c r="R157" i="4"/>
  <c r="I157" i="4"/>
  <c r="K157" i="4" s="1"/>
  <c r="R156" i="4"/>
  <c r="K156" i="4"/>
  <c r="I156" i="4"/>
  <c r="J156" i="4" s="1"/>
  <c r="R155" i="4"/>
  <c r="I155" i="4"/>
  <c r="J155" i="4" s="1"/>
  <c r="R154" i="4"/>
  <c r="I154" i="4"/>
  <c r="K154" i="4" s="1"/>
  <c r="R153" i="4"/>
  <c r="I153" i="4"/>
  <c r="J153" i="4" s="1"/>
  <c r="R152" i="4"/>
  <c r="K152" i="4"/>
  <c r="I152" i="4"/>
  <c r="J152" i="4" s="1"/>
  <c r="R151" i="4"/>
  <c r="I151" i="4"/>
  <c r="K151" i="4" s="1"/>
  <c r="R150" i="4"/>
  <c r="I150" i="4"/>
  <c r="J150" i="4" s="1"/>
  <c r="R149" i="4"/>
  <c r="I149" i="4"/>
  <c r="J149" i="4" s="1"/>
  <c r="R148" i="4"/>
  <c r="I148" i="4"/>
  <c r="K148" i="4" s="1"/>
  <c r="R147" i="4"/>
  <c r="K147" i="4"/>
  <c r="I147" i="4"/>
  <c r="J147" i="4" s="1"/>
  <c r="R146" i="4"/>
  <c r="I146" i="4"/>
  <c r="J146" i="4" s="1"/>
  <c r="R145" i="4"/>
  <c r="I145" i="4"/>
  <c r="K145" i="4" s="1"/>
  <c r="R144" i="4"/>
  <c r="I144" i="4"/>
  <c r="J144" i="4" s="1"/>
  <c r="R143" i="4"/>
  <c r="I143" i="4"/>
  <c r="J143" i="4" s="1"/>
  <c r="R142" i="4"/>
  <c r="I142" i="4"/>
  <c r="K142" i="4" s="1"/>
  <c r="R141" i="4"/>
  <c r="I141" i="4"/>
  <c r="J141" i="4" s="1"/>
  <c r="R140" i="4"/>
  <c r="I140" i="4"/>
  <c r="J140" i="4" s="1"/>
  <c r="R139" i="4"/>
  <c r="I139" i="4"/>
  <c r="K139" i="4" s="1"/>
  <c r="R138" i="4"/>
  <c r="K138" i="4"/>
  <c r="I138" i="4"/>
  <c r="J138" i="4" s="1"/>
  <c r="R137" i="4"/>
  <c r="I137" i="4"/>
  <c r="J137" i="4" s="1"/>
  <c r="R136" i="4"/>
  <c r="I136" i="4"/>
  <c r="K136" i="4" s="1"/>
  <c r="R135" i="4"/>
  <c r="I135" i="4"/>
  <c r="J135" i="4" s="1"/>
  <c r="R134" i="4"/>
  <c r="I134" i="4"/>
  <c r="J134" i="4" s="1"/>
  <c r="R133" i="4"/>
  <c r="I133" i="4"/>
  <c r="K133" i="4" s="1"/>
  <c r="R132" i="4"/>
  <c r="I132" i="4"/>
  <c r="J132" i="4" s="1"/>
  <c r="R131" i="4"/>
  <c r="I131" i="4"/>
  <c r="J131" i="4" s="1"/>
  <c r="R130" i="4"/>
  <c r="I130" i="4"/>
  <c r="K130" i="4" s="1"/>
  <c r="R129" i="4"/>
  <c r="K129" i="4"/>
  <c r="I129" i="4"/>
  <c r="J129" i="4" s="1"/>
  <c r="R128" i="4"/>
  <c r="I128" i="4"/>
  <c r="J128" i="4" s="1"/>
  <c r="R127" i="4"/>
  <c r="I127" i="4"/>
  <c r="K127" i="4" s="1"/>
  <c r="R126" i="4"/>
  <c r="I126" i="4"/>
  <c r="J126" i="4" s="1"/>
  <c r="R125" i="4"/>
  <c r="I125" i="4"/>
  <c r="J125" i="4" s="1"/>
  <c r="R124" i="4"/>
  <c r="I124" i="4"/>
  <c r="K124" i="4" s="1"/>
  <c r="R123" i="4"/>
  <c r="I123" i="4"/>
  <c r="J123" i="4" s="1"/>
  <c r="R122" i="4"/>
  <c r="I122" i="4"/>
  <c r="J122" i="4" s="1"/>
  <c r="R121" i="4"/>
  <c r="I121" i="4"/>
  <c r="K121" i="4" s="1"/>
  <c r="R120" i="4"/>
  <c r="K120" i="4"/>
  <c r="I120" i="4"/>
  <c r="J120" i="4" s="1"/>
  <c r="R119" i="4"/>
  <c r="I119" i="4"/>
  <c r="J119" i="4" s="1"/>
  <c r="R118" i="4"/>
  <c r="I118" i="4"/>
  <c r="K118" i="4" s="1"/>
  <c r="R117" i="4"/>
  <c r="I117" i="4"/>
  <c r="J117" i="4" s="1"/>
  <c r="R116" i="4"/>
  <c r="I116" i="4"/>
  <c r="J116" i="4" s="1"/>
  <c r="R115" i="4"/>
  <c r="I115" i="4"/>
  <c r="K115" i="4" s="1"/>
  <c r="R114" i="4"/>
  <c r="I114" i="4"/>
  <c r="J114" i="4" s="1"/>
  <c r="R113" i="4"/>
  <c r="I113" i="4"/>
  <c r="J113" i="4" s="1"/>
  <c r="R112" i="4"/>
  <c r="I112" i="4"/>
  <c r="K112" i="4" s="1"/>
  <c r="R111" i="4"/>
  <c r="K111" i="4"/>
  <c r="I111" i="4"/>
  <c r="J111" i="4" s="1"/>
  <c r="R110" i="4"/>
  <c r="I110" i="4"/>
  <c r="J110" i="4" s="1"/>
  <c r="R109" i="4"/>
  <c r="I109" i="4"/>
  <c r="K109" i="4" s="1"/>
  <c r="R108" i="4"/>
  <c r="I108" i="4"/>
  <c r="J108" i="4" s="1"/>
  <c r="R107" i="4"/>
  <c r="I107" i="4"/>
  <c r="J107" i="4" s="1"/>
  <c r="R106" i="4"/>
  <c r="I106" i="4"/>
  <c r="K106" i="4" s="1"/>
  <c r="R105" i="4"/>
  <c r="I105" i="4"/>
  <c r="J105" i="4" s="1"/>
  <c r="R104" i="4"/>
  <c r="I104" i="4"/>
  <c r="J104" i="4" s="1"/>
  <c r="R103" i="4"/>
  <c r="I103" i="4"/>
  <c r="K103" i="4" s="1"/>
  <c r="R102" i="4"/>
  <c r="I102" i="4"/>
  <c r="J102" i="4" s="1"/>
  <c r="R101" i="4"/>
  <c r="I101" i="4"/>
  <c r="J101" i="4" s="1"/>
  <c r="R100" i="4"/>
  <c r="I100" i="4"/>
  <c r="K100" i="4" s="1"/>
  <c r="R99" i="4"/>
  <c r="I99" i="4"/>
  <c r="J99" i="4" s="1"/>
  <c r="R98" i="4"/>
  <c r="I98" i="4"/>
  <c r="J98" i="4" s="1"/>
  <c r="R97" i="4"/>
  <c r="I97" i="4"/>
  <c r="K97" i="4" s="1"/>
  <c r="R96" i="4"/>
  <c r="I96" i="4"/>
  <c r="J96" i="4" s="1"/>
  <c r="R95" i="4"/>
  <c r="I95" i="4"/>
  <c r="J95" i="4" s="1"/>
  <c r="R94" i="4"/>
  <c r="I94" i="4"/>
  <c r="K94" i="4" s="1"/>
  <c r="R93" i="4"/>
  <c r="K93" i="4"/>
  <c r="I93" i="4"/>
  <c r="J93" i="4" s="1"/>
  <c r="R92" i="4"/>
  <c r="I92" i="4"/>
  <c r="J92" i="4" s="1"/>
  <c r="R91" i="4"/>
  <c r="I91" i="4"/>
  <c r="K91" i="4" s="1"/>
  <c r="R90" i="4"/>
  <c r="I90" i="4"/>
  <c r="J90" i="4" s="1"/>
  <c r="R89" i="4"/>
  <c r="I89" i="4"/>
  <c r="J89" i="4" s="1"/>
  <c r="R88" i="4"/>
  <c r="I88" i="4"/>
  <c r="K88" i="4" s="1"/>
  <c r="R87" i="4"/>
  <c r="I87" i="4"/>
  <c r="J87" i="4" s="1"/>
  <c r="R86" i="4"/>
  <c r="I86" i="4"/>
  <c r="J86" i="4" s="1"/>
  <c r="R85" i="4"/>
  <c r="I85" i="4"/>
  <c r="K85" i="4" s="1"/>
  <c r="R84" i="4"/>
  <c r="I84" i="4"/>
  <c r="J84" i="4" s="1"/>
  <c r="R83" i="4"/>
  <c r="I83" i="4"/>
  <c r="J83" i="4" s="1"/>
  <c r="R82" i="4"/>
  <c r="I82" i="4"/>
  <c r="K82" i="4" s="1"/>
  <c r="R81" i="4"/>
  <c r="I81" i="4"/>
  <c r="J81" i="4" s="1"/>
  <c r="R80" i="4"/>
  <c r="I80" i="4"/>
  <c r="J80" i="4" s="1"/>
  <c r="R79" i="4"/>
  <c r="I79" i="4"/>
  <c r="K79" i="4" s="1"/>
  <c r="R78" i="4"/>
  <c r="I78" i="4"/>
  <c r="J78" i="4" s="1"/>
  <c r="R77" i="4"/>
  <c r="I77" i="4"/>
  <c r="J77" i="4" s="1"/>
  <c r="R76" i="4"/>
  <c r="I76" i="4"/>
  <c r="K76" i="4" s="1"/>
  <c r="R75" i="4"/>
  <c r="K75" i="4"/>
  <c r="I75" i="4"/>
  <c r="J75" i="4" s="1"/>
  <c r="R74" i="4"/>
  <c r="I74" i="4"/>
  <c r="J74" i="4" s="1"/>
  <c r="R73" i="4"/>
  <c r="I73" i="4"/>
  <c r="K73" i="4" s="1"/>
  <c r="R72" i="4"/>
  <c r="I72" i="4"/>
  <c r="J72" i="4" s="1"/>
  <c r="R71" i="4"/>
  <c r="I71" i="4"/>
  <c r="J71" i="4" s="1"/>
  <c r="R70" i="4"/>
  <c r="I70" i="4"/>
  <c r="K70" i="4" s="1"/>
  <c r="R69" i="4"/>
  <c r="I69" i="4"/>
  <c r="J69" i="4" s="1"/>
  <c r="R68" i="4"/>
  <c r="I68" i="4"/>
  <c r="J68" i="4" s="1"/>
  <c r="R67" i="4"/>
  <c r="I67" i="4"/>
  <c r="K67" i="4" s="1"/>
  <c r="R66" i="4"/>
  <c r="K66" i="4"/>
  <c r="I66" i="4"/>
  <c r="J66" i="4" s="1"/>
  <c r="R65" i="4"/>
  <c r="I65" i="4"/>
  <c r="J65" i="4" s="1"/>
  <c r="R64" i="4"/>
  <c r="I64" i="4"/>
  <c r="K64" i="4" s="1"/>
  <c r="R63" i="4"/>
  <c r="I63" i="4"/>
  <c r="J63" i="4" s="1"/>
  <c r="R62" i="4"/>
  <c r="I62" i="4"/>
  <c r="J62" i="4" s="1"/>
  <c r="R61" i="4"/>
  <c r="I61" i="4"/>
  <c r="K61" i="4" s="1"/>
  <c r="R60" i="4"/>
  <c r="I60" i="4"/>
  <c r="J60" i="4" s="1"/>
  <c r="R59" i="4"/>
  <c r="I59" i="4"/>
  <c r="J59" i="4" s="1"/>
  <c r="R58" i="4"/>
  <c r="I58" i="4"/>
  <c r="K58" i="4" s="1"/>
  <c r="R57" i="4"/>
  <c r="I57" i="4"/>
  <c r="J57" i="4" s="1"/>
  <c r="R56" i="4"/>
  <c r="I56" i="4"/>
  <c r="J56" i="4" s="1"/>
  <c r="R55" i="4"/>
  <c r="I55" i="4"/>
  <c r="K55" i="4" s="1"/>
  <c r="R54" i="4"/>
  <c r="I54" i="4"/>
  <c r="J54" i="4" s="1"/>
  <c r="R53" i="4"/>
  <c r="I53" i="4"/>
  <c r="J53" i="4" s="1"/>
  <c r="R52" i="4"/>
  <c r="I52" i="4"/>
  <c r="K52" i="4" s="1"/>
  <c r="R51" i="4"/>
  <c r="I51" i="4"/>
  <c r="J51" i="4" s="1"/>
  <c r="R50" i="4"/>
  <c r="I50" i="4"/>
  <c r="J50" i="4" s="1"/>
  <c r="R49" i="4"/>
  <c r="I49" i="4"/>
  <c r="K49" i="4" s="1"/>
  <c r="R48" i="4"/>
  <c r="I48" i="4"/>
  <c r="J48" i="4" s="1"/>
  <c r="R47" i="4"/>
  <c r="I47" i="4"/>
  <c r="J47" i="4" s="1"/>
  <c r="R46" i="4"/>
  <c r="I46" i="4"/>
  <c r="K46" i="4" s="1"/>
  <c r="R45" i="4"/>
  <c r="I45" i="4"/>
  <c r="J45" i="4" s="1"/>
  <c r="R44" i="4"/>
  <c r="I44" i="4"/>
  <c r="J44" i="4" s="1"/>
  <c r="R43" i="4"/>
  <c r="I43" i="4"/>
  <c r="K43" i="4" s="1"/>
  <c r="R42" i="4"/>
  <c r="I42" i="4"/>
  <c r="J42" i="4" s="1"/>
  <c r="R41" i="4"/>
  <c r="I41" i="4"/>
  <c r="J41" i="4" s="1"/>
  <c r="R40" i="4"/>
  <c r="I40" i="4"/>
  <c r="K40" i="4" s="1"/>
  <c r="R39" i="4"/>
  <c r="I39" i="4"/>
  <c r="J39" i="4" s="1"/>
  <c r="R38" i="4"/>
  <c r="I38" i="4"/>
  <c r="J38" i="4" s="1"/>
  <c r="R37" i="4"/>
  <c r="I37" i="4"/>
  <c r="K37" i="4" s="1"/>
  <c r="R36" i="4"/>
  <c r="I36" i="4"/>
  <c r="J36" i="4" s="1"/>
  <c r="R35" i="4"/>
  <c r="I35" i="4"/>
  <c r="J35" i="4" s="1"/>
  <c r="R34" i="4"/>
  <c r="I34" i="4"/>
  <c r="K34" i="4" s="1"/>
  <c r="R33" i="4"/>
  <c r="I33" i="4"/>
  <c r="J33" i="4" s="1"/>
  <c r="R32" i="4"/>
  <c r="I32" i="4"/>
  <c r="J32" i="4" s="1"/>
  <c r="R31" i="4"/>
  <c r="I31" i="4"/>
  <c r="K31" i="4" s="1"/>
  <c r="R30" i="4"/>
  <c r="I30" i="4"/>
  <c r="J30" i="4" s="1"/>
  <c r="R29" i="4"/>
  <c r="I29" i="4"/>
  <c r="J29" i="4" s="1"/>
  <c r="R28" i="4"/>
  <c r="I28" i="4"/>
  <c r="K28" i="4" s="1"/>
  <c r="R27" i="4"/>
  <c r="I27" i="4"/>
  <c r="J27" i="4" s="1"/>
  <c r="R26" i="4"/>
  <c r="I26" i="4"/>
  <c r="J26" i="4" s="1"/>
  <c r="R25" i="4"/>
  <c r="I25" i="4"/>
  <c r="K25" i="4" s="1"/>
  <c r="R24" i="4"/>
  <c r="I24" i="4"/>
  <c r="J24" i="4" s="1"/>
  <c r="R23" i="4"/>
  <c r="I23" i="4"/>
  <c r="J23" i="4" s="1"/>
  <c r="R22" i="4"/>
  <c r="I22" i="4"/>
  <c r="K22" i="4" s="1"/>
  <c r="R21" i="4"/>
  <c r="I21" i="4"/>
  <c r="J21" i="4" s="1"/>
  <c r="R20" i="4"/>
  <c r="I20" i="4"/>
  <c r="J20" i="4" s="1"/>
  <c r="R19" i="4"/>
  <c r="I19" i="4"/>
  <c r="K19" i="4" s="1"/>
  <c r="R18" i="4"/>
  <c r="I18" i="4"/>
  <c r="J18" i="4" s="1"/>
  <c r="R17" i="4"/>
  <c r="I17" i="4"/>
  <c r="J17" i="4" s="1"/>
  <c r="R16" i="4"/>
  <c r="I16" i="4"/>
  <c r="K16" i="4" s="1"/>
  <c r="R15" i="4"/>
  <c r="I15" i="4"/>
  <c r="R14" i="4"/>
  <c r="I14" i="4"/>
  <c r="R13" i="4"/>
  <c r="I13" i="4"/>
  <c r="K13" i="4" s="1"/>
  <c r="R12" i="4"/>
  <c r="I12" i="4"/>
  <c r="J12" i="4" s="1"/>
  <c r="R11" i="4"/>
  <c r="I11" i="4"/>
  <c r="J11" i="4" s="1"/>
  <c r="R10" i="4"/>
  <c r="I10" i="4"/>
  <c r="K10" i="4" s="1"/>
  <c r="R9" i="4"/>
  <c r="I9" i="4"/>
  <c r="K9" i="4" s="1"/>
  <c r="R8" i="4"/>
  <c r="I8" i="4"/>
  <c r="R7" i="4"/>
  <c r="I7" i="4"/>
  <c r="K7" i="4" s="1"/>
  <c r="R6" i="4"/>
  <c r="I6" i="4"/>
  <c r="J6" i="4" s="1"/>
  <c r="R5" i="4"/>
  <c r="I5" i="4"/>
  <c r="J5" i="4" s="1"/>
  <c r="R4" i="4"/>
  <c r="I4" i="4"/>
  <c r="K4" i="4" s="1"/>
  <c r="R3" i="4"/>
  <c r="I3" i="4"/>
  <c r="R2" i="4"/>
  <c r="I2" i="4"/>
  <c r="K2" i="4" s="1"/>
  <c r="J207" i="4" l="1"/>
  <c r="K207" i="4"/>
  <c r="K24" i="4"/>
  <c r="K33" i="4"/>
  <c r="K51" i="4"/>
  <c r="K69" i="4"/>
  <c r="K87" i="4"/>
  <c r="K105" i="4"/>
  <c r="K141" i="4"/>
  <c r="K159" i="4"/>
  <c r="K168" i="4"/>
  <c r="D5" i="5"/>
  <c r="K11" i="4"/>
  <c r="K20" i="4"/>
  <c r="K29" i="4"/>
  <c r="K38" i="4"/>
  <c r="K47" i="4"/>
  <c r="K56" i="4"/>
  <c r="K65" i="4"/>
  <c r="K74" i="4"/>
  <c r="K83" i="4"/>
  <c r="K92" i="4"/>
  <c r="K101" i="4"/>
  <c r="K110" i="4"/>
  <c r="K119" i="4"/>
  <c r="K128" i="4"/>
  <c r="K137" i="4"/>
  <c r="K146" i="4"/>
  <c r="K155" i="4"/>
  <c r="K164" i="4"/>
  <c r="K173" i="4"/>
  <c r="K182" i="4"/>
  <c r="J198" i="4"/>
  <c r="K198" i="4"/>
  <c r="D6" i="5"/>
  <c r="J3" i="4"/>
  <c r="D3" i="5"/>
  <c r="J183" i="4"/>
  <c r="K183" i="4"/>
  <c r="K188" i="4"/>
  <c r="K3" i="4"/>
  <c r="K21" i="4"/>
  <c r="K57" i="4"/>
  <c r="K84" i="4"/>
  <c r="K102" i="4"/>
  <c r="J204" i="4"/>
  <c r="K204" i="4"/>
  <c r="J15" i="4"/>
  <c r="D15" i="5"/>
  <c r="K26" i="4"/>
  <c r="K35" i="4"/>
  <c r="K53" i="4"/>
  <c r="K62" i="4"/>
  <c r="K71" i="4"/>
  <c r="K80" i="4"/>
  <c r="K89" i="4"/>
  <c r="K98" i="4"/>
  <c r="K107" i="4"/>
  <c r="K116" i="4"/>
  <c r="K125" i="4"/>
  <c r="K134" i="4"/>
  <c r="K143" i="4"/>
  <c r="J189" i="4"/>
  <c r="K189" i="4"/>
  <c r="J8" i="4"/>
  <c r="D8" i="5"/>
  <c r="K12" i="4"/>
  <c r="K30" i="4"/>
  <c r="K39" i="4"/>
  <c r="K48" i="4"/>
  <c r="K8" i="4"/>
  <c r="K17" i="4"/>
  <c r="K44" i="4"/>
  <c r="J210" i="4"/>
  <c r="K210" i="4"/>
  <c r="J195" i="4"/>
  <c r="K195" i="4"/>
  <c r="K18" i="4"/>
  <c r="K36" i="4"/>
  <c r="K45" i="4"/>
  <c r="K63" i="4"/>
  <c r="K72" i="4"/>
  <c r="K90" i="4"/>
  <c r="K117" i="4"/>
  <c r="K126" i="4"/>
  <c r="K144" i="4"/>
  <c r="K153" i="4"/>
  <c r="K171" i="4"/>
  <c r="K180" i="4"/>
  <c r="K185" i="4"/>
  <c r="D17" i="5"/>
  <c r="J9" i="4"/>
  <c r="D9" i="5"/>
  <c r="J14" i="4"/>
  <c r="D14" i="5"/>
  <c r="K27" i="4"/>
  <c r="K54" i="4"/>
  <c r="K81" i="4"/>
  <c r="K99" i="4"/>
  <c r="K108" i="4"/>
  <c r="K135" i="4"/>
  <c r="K162" i="4"/>
  <c r="K5" i="4"/>
  <c r="K14" i="4"/>
  <c r="K23" i="4"/>
  <c r="K32" i="4"/>
  <c r="K41" i="4"/>
  <c r="K50" i="4"/>
  <c r="K59" i="4"/>
  <c r="K68" i="4"/>
  <c r="K77" i="4"/>
  <c r="K86" i="4"/>
  <c r="K95" i="4"/>
  <c r="K104" i="4"/>
  <c r="K113" i="4"/>
  <c r="K122" i="4"/>
  <c r="K131" i="4"/>
  <c r="K140" i="4"/>
  <c r="K149" i="4"/>
  <c r="K158" i="4"/>
  <c r="K167" i="4"/>
  <c r="K176" i="4"/>
  <c r="J201" i="4"/>
  <c r="K201" i="4"/>
  <c r="K206" i="4"/>
  <c r="J186" i="4"/>
  <c r="K186" i="4"/>
  <c r="D11" i="5"/>
  <c r="J2" i="4"/>
  <c r="D2" i="5"/>
  <c r="K6" i="4"/>
  <c r="K15" i="4"/>
  <c r="K42" i="4"/>
  <c r="K60" i="4"/>
  <c r="K78" i="4"/>
  <c r="K96" i="4"/>
  <c r="K114" i="4"/>
  <c r="K123" i="4"/>
  <c r="K132" i="4"/>
  <c r="K150" i="4"/>
  <c r="K177" i="4"/>
  <c r="J192" i="4"/>
  <c r="K192" i="4"/>
  <c r="K197" i="4"/>
  <c r="D12" i="5"/>
  <c r="J4" i="4"/>
  <c r="J7" i="4"/>
  <c r="J10" i="4"/>
  <c r="J13" i="4"/>
  <c r="J16" i="4"/>
  <c r="J19" i="4"/>
  <c r="J22" i="4"/>
  <c r="J25" i="4"/>
  <c r="J28" i="4"/>
  <c r="J31" i="4"/>
  <c r="J34" i="4"/>
  <c r="J37" i="4"/>
  <c r="J40" i="4"/>
  <c r="J43" i="4"/>
  <c r="J46" i="4"/>
  <c r="J49" i="4"/>
  <c r="J52" i="4"/>
  <c r="J55" i="4"/>
  <c r="J58" i="4"/>
  <c r="J61" i="4"/>
  <c r="J64" i="4"/>
  <c r="J67" i="4"/>
  <c r="J70" i="4"/>
  <c r="J73" i="4"/>
  <c r="J76" i="4"/>
  <c r="J79" i="4"/>
  <c r="J82" i="4"/>
  <c r="J85" i="4"/>
  <c r="J88" i="4"/>
  <c r="J91" i="4"/>
  <c r="J94" i="4"/>
  <c r="J97" i="4"/>
  <c r="J100" i="4"/>
  <c r="J103" i="4"/>
  <c r="J106" i="4"/>
  <c r="J109" i="4"/>
  <c r="J112" i="4"/>
  <c r="J115" i="4"/>
  <c r="J118" i="4"/>
  <c r="J121" i="4"/>
  <c r="J124" i="4"/>
  <c r="J127" i="4"/>
  <c r="J130" i="4"/>
  <c r="J133" i="4"/>
  <c r="J136" i="4"/>
  <c r="J139" i="4"/>
  <c r="J142" i="4"/>
  <c r="J145" i="4"/>
  <c r="J148" i="4"/>
  <c r="J151" i="4"/>
  <c r="J154" i="4"/>
  <c r="J157" i="4"/>
  <c r="J160" i="4"/>
  <c r="J163" i="4"/>
  <c r="J166" i="4"/>
  <c r="J169" i="4"/>
  <c r="J172" i="4"/>
  <c r="J175" i="4"/>
  <c r="J178" i="4"/>
  <c r="J181" i="4"/>
  <c r="J184" i="4"/>
  <c r="J187" i="4"/>
  <c r="J190" i="4"/>
  <c r="J193" i="4"/>
  <c r="J196" i="4"/>
  <c r="J199" i="4"/>
  <c r="J202" i="4"/>
  <c r="J205" i="4"/>
  <c r="J20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300-000001000000}">
      <text>
        <r>
          <rPr>
            <sz val="10"/>
            <rFont val="Arial"/>
            <family val="2"/>
          </rPr>
          <t>pkirkov:
Probability / Вероятност</t>
        </r>
      </text>
    </comment>
    <comment ref="H1" authorId="0" shapeId="0" xr:uid="{00000000-0006-0000-0300-000002000000}">
      <text>
        <r>
          <rPr>
            <sz val="10"/>
            <rFont val="Arial"/>
            <family val="2"/>
          </rPr>
          <t xml:space="preserve">pkirkov:
Impact / Въздействие
</t>
        </r>
      </text>
    </comment>
  </commentList>
</comments>
</file>

<file path=xl/sharedStrings.xml><?xml version="1.0" encoding="utf-8"?>
<sst xmlns="http://schemas.openxmlformats.org/spreadsheetml/2006/main" count="584" uniqueCount="357">
  <si>
    <t>МИС — инструмент за риска (инвентаризация, оценка на риска, план за третиране)</t>
  </si>
  <si>
    <t>Ред на попълване: 1) Регистър на активите → 2) Регистър на риска → 3) План за третиране.</t>
  </si>
  <si>
    <t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</si>
  <si>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</si>
  <si>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</si>
  <si>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</si>
  <si>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</si>
  <si>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</si>
  <si>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</si>
  <si>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</si>
  <si>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</si>
  <si>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</si>
  <si>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</si>
  <si>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</si>
  <si>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</si>
  <si>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</si>
  <si>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>Минимум за предаване: ≥12 актива, ≥12 оценени риска, план за третиране на всички неприемливи рискове.</t>
  </si>
  <si>
    <t>РИСК АПЕТИТ (число, по подразбиране 9 — сменя се с обосновка):</t>
  </si>
  <si>
    <t>Всичко с риск НАД тази стойност е неприемливо и влиза в План за третиране.</t>
  </si>
  <si>
    <t>СКАЛА ЗА ВЕРОЯТНОСТ (1–5, по честота)</t>
  </si>
  <si>
    <t>1 Много ниска</t>
  </si>
  <si>
    <t>по-рядко от веднъж на 10 години, теоретично</t>
  </si>
  <si>
    <t>2 Ниска</t>
  </si>
  <si>
    <t>веднъж на няколко години в сектора</t>
  </si>
  <si>
    <t>3 Средна</t>
  </si>
  <si>
    <t>веднъж на няколко години в подобна организация</t>
  </si>
  <si>
    <t>4 Висока</t>
  </si>
  <si>
    <t>очаква се при текущата защита, поне веднъж годишно</t>
  </si>
  <si>
    <t>5 Много висока</t>
  </si>
  <si>
    <t>вече се случва или опити постоянно</t>
  </si>
  <si>
    <t>СКАЛА ЗА ВЪЗДЕЙСТВИЕ (1–5) — взима се НАЙ-ВИСОКОТО от 4-те измерения</t>
  </si>
  <si>
    <t>Ниво</t>
  </si>
  <si>
    <t>Работа на услугата</t>
  </si>
  <si>
    <t>Данни</t>
  </si>
  <si>
    <t>Финанси и право</t>
  </si>
  <si>
    <t>Репутация</t>
  </si>
  <si>
    <t>1 Нищожно</t>
  </si>
  <si>
    <t>без забележимо прекъсване</t>
  </si>
  <si>
    <t>без загуба/разкриване</t>
  </si>
  <si>
    <t>пренебрежими разходи</t>
  </si>
  <si>
    <t>без отзвук</t>
  </si>
  <si>
    <t>2 Малко</t>
  </si>
  <si>
    <t>прекъсване до половин ден за част</t>
  </si>
  <si>
    <t>възстановимо от архив</t>
  </si>
  <si>
    <t>в рамките на бюджета</t>
  </si>
  <si>
    <t>отделни оплаквания</t>
  </si>
  <si>
    <t>3 Средно</t>
  </si>
  <si>
    <t>до един ден на основна услуга</t>
  </si>
  <si>
    <t>загуба до RPO/вътрешна инфо</t>
  </si>
  <si>
    <t>неустойки, извънредни разходи</t>
  </si>
  <si>
    <t>локална публичност</t>
  </si>
  <si>
    <t>4 Голямо</t>
  </si>
  <si>
    <t>над ден или всички потребители</t>
  </si>
  <si>
    <t>лични/поверителни данни</t>
  </si>
  <si>
    <t>надзорен орган, санкции</t>
  </si>
  <si>
    <t>национална публичност</t>
  </si>
  <si>
    <t>5 Критично</t>
  </si>
  <si>
    <t>спиране, живот и здраве, КИ</t>
  </si>
  <si>
    <t>масово/невъзстановимо</t>
  </si>
  <si>
    <t>лиценз, наказателна отг.</t>
  </si>
  <si>
    <t>трайна загуба на доверие</t>
  </si>
  <si>
    <t>НИВА НА РИСК (вероятност × въздействие)</t>
  </si>
  <si>
    <t>Стойност</t>
  </si>
  <si>
    <t>Цвят</t>
  </si>
  <si>
    <t>Срок за третиране</t>
  </si>
  <si>
    <t>Нисък</t>
  </si>
  <si>
    <t>1–4</t>
  </si>
  <si>
    <t>приема се / наблюдава се</t>
  </si>
  <si>
    <t>Умерен</t>
  </si>
  <si>
    <t>5–9</t>
  </si>
  <si>
    <t>наблюдава се</t>
  </si>
  <si>
    <t>Висок</t>
  </si>
  <si>
    <t>10–15</t>
  </si>
  <si>
    <t>третира се до 90 дни</t>
  </si>
  <si>
    <t>Критичен</t>
  </si>
  <si>
    <t>16–25</t>
  </si>
  <si>
    <t>третира се до 30 дни, временна мярка до 7 дни</t>
  </si>
  <si>
    <t>ВАРИАНТИ ЗА ТРЕТИРАНЕ</t>
  </si>
  <si>
    <t>Намаляване</t>
  </si>
  <si>
    <t>контрол, който сваля вероятността или въздействието</t>
  </si>
  <si>
    <t>Прехвърляне</t>
  </si>
  <si>
    <t>застраховка или договорна клауза; какво остава непрехвърлено</t>
  </si>
  <si>
    <t>Избягване</t>
  </si>
  <si>
    <t>спиране на дейността, която носи риска</t>
  </si>
  <si>
    <t>Приемане</t>
  </si>
  <si>
    <t>рискът е под апетита или третирането струва повече от щетата; кой приема, с длъжност и дата</t>
  </si>
  <si>
    <t>A-ID</t>
  </si>
  <si>
    <t>Наименование</t>
  </si>
  <si>
    <t>Тип</t>
  </si>
  <si>
    <t>Собственик (длъжност)</t>
  </si>
  <si>
    <t>Оператор</t>
  </si>
  <si>
    <t>Класификация</t>
  </si>
  <si>
    <t>Локация</t>
  </si>
  <si>
    <t>Зависимости</t>
  </si>
  <si>
    <t>Забележка</t>
  </si>
  <si>
    <t>A-01</t>
  </si>
  <si>
    <t>Маршрутна система и GPS портал (порт 8888)</t>
  </si>
  <si>
    <t>софтуер</t>
  </si>
  <si>
    <t>Ръководител диспечерски отдел</t>
  </si>
  <si>
    <t>HQ администратор</t>
  </si>
  <si>
    <t>поверителна</t>
  </si>
  <si>
    <t>София Dispatch 10.20.0.10, LAN-HQ</t>
  </si>
  <si>
    <t>A-04, A-05, A-08, A-13</t>
  </si>
  <si>
    <t>свързан с R-01, R-02, R-16</t>
  </si>
  <si>
    <t>A-02</t>
  </si>
  <si>
    <t>Данни за маршрути, товари и клиенти</t>
  </si>
  <si>
    <t>информация</t>
  </si>
  <si>
    <t>Оперативен директор</t>
  </si>
  <si>
    <t>База данни на A-04</t>
  </si>
  <si>
    <t>A-01, A-04, A-12</t>
  </si>
  <si>
    <t>свързан с R-04, R-15</t>
  </si>
  <si>
    <t>A-03</t>
  </si>
  <si>
    <t>GPS тракери в камионите</t>
  </si>
  <si>
    <t>хардуер</t>
  </si>
  <si>
    <t>Ръководител автопарк</t>
  </si>
  <si>
    <t>Доставчик на GPS платформа</t>
  </si>
  <si>
    <t>вътрешна</t>
  </si>
  <si>
    <t>Превозните средства; мобилна мрежа</t>
  </si>
  <si>
    <t>A-01, A-08</t>
  </si>
  <si>
    <t>свързан с R-07, R-16</t>
  </si>
  <si>
    <t>A-04</t>
  </si>
  <si>
    <t>Сървър София Dispatch</t>
  </si>
  <si>
    <t>Ръководител ИТ</t>
  </si>
  <si>
    <t>Сървърно помещение София, 10.20.0.10</t>
  </si>
  <si>
    <t>A-05, A-16</t>
  </si>
  <si>
    <t>свързан с R-14</t>
  </si>
  <si>
    <t>A-05</t>
  </si>
  <si>
    <t>София Gateway – NAT рутер / firewall</t>
  </si>
  <si>
    <t>мрежа</t>
  </si>
  <si>
    <t>София, 10.20.0.1 / 192.168.1.1</t>
  </si>
  <si>
    <t>A-08, A-16</t>
  </si>
  <si>
    <t>единствен изход към интернет; R-06</t>
  </si>
  <si>
    <t>A-06</t>
  </si>
  <si>
    <t>Складова система (порт 9000)</t>
  </si>
  <si>
    <t>Ръководител складове</t>
  </si>
  <si>
    <t>Стара Загора 10.22.0.30, Шумен 10.23.0.30</t>
  </si>
  <si>
    <t>A-07, A-08</t>
  </si>
  <si>
    <t>свързан с R-05, R-12</t>
  </si>
  <si>
    <t>A-07</t>
  </si>
  <si>
    <t>Складови данни – наличности и движение на стоки</t>
  </si>
  <si>
    <t>Складов работник</t>
  </si>
  <si>
    <t>Бази данни на A-06</t>
  </si>
  <si>
    <t>A-06, A-12</t>
  </si>
  <si>
    <t>—</t>
  </si>
  <si>
    <t>A-08</t>
  </si>
  <si>
    <t>Свързаност между обектите (WAN / интернет доставчик)</t>
  </si>
  <si>
    <t>Управител</t>
  </si>
  <si>
    <t>София, Пловдив, Стара Загора, Шумен</t>
  </si>
  <si>
    <t>външен доставчик</t>
  </si>
  <si>
    <t>A-09</t>
  </si>
  <si>
    <t>Диспечерски терминал Пловдив</t>
  </si>
  <si>
    <t>Диспечер</t>
  </si>
  <si>
    <t>Пловдив, 10.21.0.20</t>
  </si>
  <si>
    <t>свързан с R-13</t>
  </si>
  <si>
    <t>A-10</t>
  </si>
  <si>
    <t>Работни станции на диспечерите в София</t>
  </si>
  <si>
    <t>София, LAN-HQ</t>
  </si>
  <si>
    <t>A-01, A-05, A-11</t>
  </si>
  <si>
    <t>свързан с R-03</t>
  </si>
  <si>
    <t>A-11</t>
  </si>
  <si>
    <t>Електронна поща и домейн на фирмата</t>
  </si>
  <si>
    <t>услуга</t>
  </si>
  <si>
    <t>облак / доставчик на поща</t>
  </si>
  <si>
    <t>свързан с R-09</t>
  </si>
  <si>
    <t>A-12</t>
  </si>
  <si>
    <t>Резервни копия на A-02 и A-07</t>
  </si>
  <si>
    <t>Сървър София (същият хост като A-04)</t>
  </si>
  <si>
    <t>A-04, A-16</t>
  </si>
  <si>
    <t>свързан с R-04, R-10</t>
  </si>
  <si>
    <t>A-13</t>
  </si>
  <si>
    <t>Потребителски акаунти и администраторски пароли</t>
  </si>
  <si>
    <t>строго поверителна</t>
  </si>
  <si>
    <t>Gateway, сървъри, портал</t>
  </si>
  <si>
    <t>A-01, A-04, A-05</t>
  </si>
  <si>
    <t>свързан с R-02, R-08, R-11</t>
  </si>
  <si>
    <t>A-14</t>
  </si>
  <si>
    <t>Диспечери (знание за маршрути и клиенти)</t>
  </si>
  <si>
    <t>хора</t>
  </si>
  <si>
    <t>София и Пловдив</t>
  </si>
  <si>
    <t>знанието е актив; R-03</t>
  </si>
  <si>
    <t>A-15</t>
  </si>
  <si>
    <t>HQ администратор (ключово техническо знание)</t>
  </si>
  <si>
    <t>София</t>
  </si>
  <si>
    <t>един човек без заместник</t>
  </si>
  <si>
    <t>A-16</t>
  </si>
  <si>
    <t>Сървърно помещение София</t>
  </si>
  <si>
    <t>помещение</t>
  </si>
  <si>
    <t>Фасилити</t>
  </si>
  <si>
    <t>Главен офис София</t>
  </si>
  <si>
    <t>A-17</t>
  </si>
  <si>
    <t>Лични данни на шофьорите (вкл. GPS местоположение)</t>
  </si>
  <si>
    <t>A-01 / A-02</t>
  </si>
  <si>
    <t>A-01, A-03</t>
  </si>
  <si>
    <t>GDPR; свързан с R-07, R-08</t>
  </si>
  <si>
    <t>R-ID</t>
  </si>
  <si>
    <t>Заплаха ( MITTRE ATT&amp;CK техника)</t>
  </si>
  <si>
    <t>Уязвимост</t>
  </si>
  <si>
    <t>Сценарий (изречение)</t>
  </si>
  <si>
    <t>Съществуващи контроли</t>
  </si>
  <si>
    <t>P</t>
  </si>
  <si>
    <t>I</t>
  </si>
  <si>
    <t>Риск</t>
  </si>
  <si>
    <t>Приемлив</t>
  </si>
  <si>
    <t>Третиране</t>
  </si>
  <si>
    <t>Отговорник (длъжност)</t>
  </si>
  <si>
    <t>Срок</t>
  </si>
  <si>
    <t>Час</t>
  </si>
  <si>
    <t>Остат. P</t>
  </si>
  <si>
    <t>Остат. I</t>
  </si>
  <si>
    <t>Остат. риск</t>
  </si>
  <si>
    <t>Доказателство</t>
  </si>
  <si>
    <t>R-01</t>
  </si>
  <si>
    <t>T1190 Exploit Public-Facing Application</t>
  </si>
  <si>
    <t>Остаряла версия на уеб сървъра (Apache 2.4.49) с публично известни уязвимости, без WAF</t>
  </si>
  <si>
    <t>Външен нападател използва известна уязвимост в портала и спира диспечерската дейност.</t>
  </si>
  <si>
    <t>NAT/firewall, публикуван е само порт 8888</t>
  </si>
  <si>
    <t>намаляване</t>
  </si>
  <si>
    <t>30 дни (временна мярка до 7 дни)</t>
  </si>
  <si>
    <t>artefakti/s02-razuznavane/nmap.txt (преди); отчет след обновяване</t>
  </si>
  <si>
    <t>R-02</t>
  </si>
  <si>
    <t>A-01, A-13</t>
  </si>
  <si>
    <t>T1110.003 Password Spraying</t>
  </si>
  <si>
    <t>Входът в портала е само с парола, без MFA и без заключване след неуспешни опити</t>
  </si>
  <si>
    <t>Нападател отгатва парола на диспечер и получава достъп до маршрутите и клиентите.</t>
  </si>
  <si>
    <t>Изискване за сложност на паролата</t>
  </si>
  <si>
    <t>R-03</t>
  </si>
  <si>
    <t>A-10, A-14</t>
  </si>
  <si>
    <t>T1566.001 Spearphishing Attachment</t>
  </si>
  <si>
    <t>Няма обучение на диспечерите, прикачени файлове не се филтрират</t>
  </si>
  <si>
    <t>Диспечер отваря заразен прикачен файл и компютърът му е компрометиран.</t>
  </si>
  <si>
    <t>Антивирус на работните станции</t>
  </si>
  <si>
    <t>R-04</t>
  </si>
  <si>
    <t>T1486 Data Encrypted for Impact</t>
  </si>
  <si>
    <t>Резервните копия са на същия сървър, не са офлайн и не са тествани</t>
  </si>
  <si>
    <t>Рансъмуер криптира базата с маршрути и клиенти и няма от какво да се възстанови.</t>
  </si>
  <si>
    <t>Ежеседмично копие на същия диск</t>
  </si>
  <si>
    <t>90 дни</t>
  </si>
  <si>
    <t>R-05</t>
  </si>
  <si>
    <t>T1021.004 Remote Services: SSH</t>
  </si>
  <si>
    <t>Липсва сегментация между складовете и останалите обекти</t>
  </si>
  <si>
    <t>Компрометиран компютър в склад се използва за достъп до сървърите в София.</t>
  </si>
  <si>
    <t>Няма</t>
  </si>
  <si>
    <t>R-06</t>
  </si>
  <si>
    <t>A-05, A-08</t>
  </si>
  <si>
    <t>T1498 Network Denial of Service</t>
  </si>
  <si>
    <t>Един изход към интернет през един Gateway, без DDoS защита</t>
  </si>
  <si>
    <t>Претоварване на интернет връзката в София спира диспечерите и Пловдив.</t>
  </si>
  <si>
    <t>R-07</t>
  </si>
  <si>
    <t>A-03, A-17</t>
  </si>
  <si>
    <t>T1557 Adversary-in-the-Middle</t>
  </si>
  <si>
    <t>Тракерите изпращат данни без криптиране</t>
  </si>
  <si>
    <t>Трето лице прихваща данни за местоположението на камионите.</t>
  </si>
  <si>
    <t>Мобилна мрежа на оператора</t>
  </si>
  <si>
    <t>приемане</t>
  </si>
  <si>
    <t>R-08</t>
  </si>
  <si>
    <t>A-13, A-17</t>
  </si>
  <si>
    <t>T1078 Valid Accounts</t>
  </si>
  <si>
    <t>Няма процедура при напускане, има общи акаунти</t>
  </si>
  <si>
    <t>Напуснал служител с активен акаунт изнася данни за шофьорите.</t>
  </si>
  <si>
    <t>R-09</t>
  </si>
  <si>
    <t>T1656 Impersonation</t>
  </si>
  <si>
    <t>Домейнът няма DMARC, няма процедура за проверка при смяна на банкова сметка</t>
  </si>
  <si>
    <t>Измамник се представя за доставчик и счетоводството плаща по фалшива сметка.</t>
  </si>
  <si>
    <t>R-10</t>
  </si>
  <si>
    <t>T1490 Inhibit System Recovery</t>
  </si>
  <si>
    <t>Резервните копия са достъпни със същите администраторски права</t>
  </si>
  <si>
    <t>При компрометиране се изтриват и резервните копия.</t>
  </si>
  <si>
    <t>R-11</t>
  </si>
  <si>
    <t>A-13, A-15</t>
  </si>
  <si>
    <t>T1552.001 Credentials In Files</t>
  </si>
  <si>
    <t>Администраторските пароли се пазят в текстов файл</t>
  </si>
  <si>
    <t>Изтекли администраторски пароли дават пълен контрол над мрежата.</t>
  </si>
  <si>
    <t>R-12</t>
  </si>
  <si>
    <t>T1210 Exploitation of Remote Services</t>
  </si>
  <si>
    <t>Складовият софтуер се обновява рядко</t>
  </si>
  <si>
    <t>Уязвимост в складовата система спира работата на един склад.</t>
  </si>
  <si>
    <t>Достъпен само в складовата мрежа</t>
  </si>
  <si>
    <t>R-13</t>
  </si>
  <si>
    <t>T1091 Replication Through Removable Media</t>
  </si>
  <si>
    <t>USB носителите не са ограничени</t>
  </si>
  <si>
    <t>Заразена флашка компрометира терминала в Пловдив.</t>
  </si>
  <si>
    <t>Антивирус</t>
  </si>
  <si>
    <t>R-14</t>
  </si>
  <si>
    <t>T1070.002 Clear Linux or Mac System Logs</t>
  </si>
  <si>
    <t>Логовете се пазят само локално, няма централно логване</t>
  </si>
  <si>
    <t>Следите от инцидент се изтриват и той не може да бъде разследван.</t>
  </si>
  <si>
    <t>Локален syslog</t>
  </si>
  <si>
    <t>R-15</t>
  </si>
  <si>
    <t>T1565.001 Stored Data Manipulation</t>
  </si>
  <si>
    <t>Широки права за запис в базата с маршрути</t>
  </si>
  <si>
    <t>Грешно променени маршрути водят до забавени доставки.</t>
  </si>
  <si>
    <t>Ръчна проверка от диспечера</t>
  </si>
  <si>
    <t>R-16</t>
  </si>
  <si>
    <t>T1195.002 Compromise Software Supply Chain</t>
  </si>
  <si>
    <t>Няма изисквания за сигурност в договора с доставчика на GPS платформата</t>
  </si>
  <si>
    <t>Компрометирано обновяване от доставчика спира проследяването на камионите.</t>
  </si>
  <si>
    <t>прехвърляне</t>
  </si>
  <si>
    <t>A-ID (актив)</t>
  </si>
  <si>
    <t>Кратко описание на риска</t>
  </si>
  <si>
    <t>Първонач. риск</t>
  </si>
  <si>
    <t>Вариант за третиране</t>
  </si>
  <si>
    <t>Планиран контрол</t>
  </si>
  <si>
    <t>Annex A код</t>
  </si>
  <si>
    <t>Час от курса</t>
  </si>
  <si>
    <t>Статус</t>
  </si>
  <si>
    <t>Остат. В</t>
  </si>
  <si>
    <t>Остат. Въ</t>
  </si>
  <si>
    <t>Доказателство / артефакт</t>
  </si>
  <si>
    <t>Компрометиране на маршрутния портал през остаряла версия на уеб сървъра</t>
  </si>
  <si>
    <t>M1051 обновяване до поддържана версия; M1050 reverse proxy + WAF (OWASP CRS); M1016 месечно сканиране за уязвимости</t>
  </si>
  <si>
    <t>A.8.8, A.8.23, A.8.26</t>
  </si>
  <si>
    <t>планиран</t>
  </si>
  <si>
    <t>Неоторизиран достъп до портала чрез слаби пароли</t>
  </si>
  <si>
    <t>M1032 MFA (TOTP) за всички потребители; M1036 заключване на акаунта след 5 опита; M1027 политика за пароли</t>
  </si>
  <si>
    <t>A.8.5, A.5.17</t>
  </si>
  <si>
    <t>Компрометиране на работна станция чрез фишинг</t>
  </si>
  <si>
    <t>M1017 годишно обучение + фишинг симулации; M1049 филтриране на прикачени файлове; M1054 SPF/DKIM/DMARC</t>
  </si>
  <si>
    <t>A.6.3, A.8.7, A.8.23</t>
  </si>
  <si>
    <t>Загуба на оперативните данни при рансъмуер</t>
  </si>
  <si>
    <t>M1053 резервни копия 3-2-1 (едно офлайн, едно в Пловдив); тест на възстановяването всяко тримесечие</t>
  </si>
  <si>
    <t>A.8.13, A.5.30</t>
  </si>
  <si>
    <t>Разпространение от склад към централата</t>
  </si>
  <si>
    <t>M1030 сегментация с nftables по изискванията за филтриране; M1037 само порт 9000 между складовете</t>
  </si>
  <si>
    <t>A.8.22, A.8.20</t>
  </si>
  <si>
    <t>Прекъсване на диспечерската услуга при DoS</t>
  </si>
  <si>
    <t>M1037 DDoS защита от доставчика и rate limiting; резервна LTE връзка</t>
  </si>
  <si>
    <t>A.8.6, A.8.20</t>
  </si>
  <si>
    <t>Прихващане на GPS данни от тракерите</t>
  </si>
  <si>
    <t>— (приет от управителя на 14.10.2026; преглед при смяна на тракерите)</t>
  </si>
  <si>
    <t>приет</t>
  </si>
  <si>
    <t>Злоупотреба с акаунт на напуснал служител</t>
  </si>
  <si>
    <t>M1018 процедура при постъпване/напускане и лични акаунти; RBAC по роли; M1047 преглед на достъпа всяко тримесечие</t>
  </si>
  <si>
    <t>A.5.15, A.5.18, A.6.5</t>
  </si>
  <si>
    <t>Финансова загуба от имейл измама (BEC)</t>
  </si>
  <si>
    <t>M1054 SPF/DKIM/DMARC (p=reject); M1017 обратно обаждане при смяна на банкови данни</t>
  </si>
  <si>
    <t>A.8.2, A.5.14</t>
  </si>
  <si>
    <t>Унищожаване на резервните копия</t>
  </si>
  <si>
    <t>M1053 офлайн/неизменимо копие с отделни права за достъп</t>
  </si>
  <si>
    <t>A.8.13</t>
  </si>
  <si>
    <t>Изтичане на администраторски пароли</t>
  </si>
  <si>
    <t>M1027 мениджър на пароли; M1026 лични администраторски акаунти и SSH с ключ</t>
  </si>
  <si>
    <t>A.5.17, A.8.2</t>
  </si>
  <si>
    <t>Отказ на складовата система</t>
  </si>
  <si>
    <t>— (приет от управителя на 14.10.2026; достъпът се ограничава от сегментацията на R-05)</t>
  </si>
  <si>
    <t>Зловреден код от USB носител</t>
  </si>
  <si>
    <t>— (приет от управителя на 14.10.2026)</t>
  </si>
  <si>
    <t>Невъзможност за откриване и разследване на инцидент</t>
  </si>
  <si>
    <t>M1029 централно логване извън сървъра; M1022 ограничени права до логовете</t>
  </si>
  <si>
    <t>A.8.15, A.8.16</t>
  </si>
  <si>
    <t>Неоторизирана промяна на маршрутни данни</t>
  </si>
  <si>
    <t>— (приет от оперативния директор на 14.10.2026)</t>
  </si>
  <si>
    <t>Компрометиране чрез доставчика на GPS платформата</t>
  </si>
  <si>
    <t>Договорни клаузи (мерки, уведомяване до 24 ч, отговорност) + киберзастраховка; непрехвърлено остава прекъсването на работата</t>
  </si>
  <si>
    <t>A.5.19, A.5.20, A.5.21</t>
  </si>
  <si>
    <t>Heat map – брой рискове по вероятност (P) и въздействие (I); апетит = Скали!B1</t>
  </si>
  <si>
    <t>P \ I</t>
  </si>
  <si>
    <t>Зелено – нисък, жълто – умерен, оранжево – висок, червено – критичен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</si>
</sst>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1"/>
      <name val="Cambria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E7E6E6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8CBAD"/>
      </patternFill>
    </fill>
    <fill>
      <patternFill patternType="solid">
        <fgColor rgb="FFFFC7CE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FF7C80"/>
        <bgColor rgb="FFFF66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/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1" fillId="0" borderId="0" xfId="0" applyFont="1"/>
    <xf numFmtId="0" fontId="0" fillId="6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7C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8CBAD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zoomScaleNormal="100" workbookViewId="0">
      <selection activeCell="A12" sqref="A12"/>
    </sheetView>
  </sheetViews>
  <sheetFormatPr defaultColWidth="8.6640625" defaultRowHeight="14.4" x14ac:dyDescent="0.3"/>
  <cols>
    <col min="1" max="1" width="110" customWidth="1"/>
  </cols>
  <sheetData>
    <row r="1" spans="1:1" ht="36" customHeight="1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/>
    </row>
    <row r="5" spans="1:1" x14ac:dyDescent="0.3">
      <c r="A5" s="3" t="s">
        <v>2</v>
      </c>
    </row>
    <row r="6" spans="1:1" x14ac:dyDescent="0.3">
      <c r="A6" s="2" t="s">
        <v>3</v>
      </c>
    </row>
    <row r="7" spans="1:1" ht="28.5" customHeight="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/>
    </row>
    <row r="10" spans="1:1" x14ac:dyDescent="0.3">
      <c r="A10" s="3" t="s">
        <v>6</v>
      </c>
    </row>
    <row r="11" spans="1:1" x14ac:dyDescent="0.3">
      <c r="A11" s="2" t="s">
        <v>7</v>
      </c>
    </row>
    <row r="12" spans="1:1" ht="28.5" customHeight="1" x14ac:dyDescent="0.3">
      <c r="A12" s="2" t="s">
        <v>8</v>
      </c>
    </row>
    <row r="13" spans="1:1" ht="28.5" customHeight="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/>
    </row>
    <row r="17" spans="1:1" x14ac:dyDescent="0.3">
      <c r="A17" s="3" t="s">
        <v>12</v>
      </c>
    </row>
    <row r="18" spans="1:1" x14ac:dyDescent="0.3">
      <c r="A18" s="2" t="s">
        <v>13</v>
      </c>
    </row>
    <row r="19" spans="1:1" x14ac:dyDescent="0.3">
      <c r="A19" s="2" t="s">
        <v>14</v>
      </c>
    </row>
    <row r="20" spans="1:1" x14ac:dyDescent="0.3">
      <c r="A20" s="2" t="s">
        <v>15</v>
      </c>
    </row>
    <row r="21" spans="1:1" x14ac:dyDescent="0.3">
      <c r="A21" s="2"/>
    </row>
    <row r="22" spans="1:1" ht="30" customHeight="1" x14ac:dyDescent="0.3">
      <c r="A22" s="4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showGridLines="0" topLeftCell="A10" zoomScaleNormal="100" workbookViewId="0">
      <selection activeCell="B31" sqref="B31"/>
    </sheetView>
  </sheetViews>
  <sheetFormatPr defaultColWidth="8.6640625" defaultRowHeight="14.4" x14ac:dyDescent="0.3"/>
  <cols>
    <col min="1" max="1" width="34" customWidth="1"/>
    <col min="2" max="2" width="46" customWidth="1"/>
    <col min="3" max="4" width="20" customWidth="1"/>
    <col min="5" max="5" width="26" customWidth="1"/>
  </cols>
  <sheetData>
    <row r="1" spans="1:5" ht="38.25" customHeight="1" x14ac:dyDescent="0.3">
      <c r="A1" s="5" t="s">
        <v>17</v>
      </c>
      <c r="B1" s="6">
        <v>9</v>
      </c>
    </row>
    <row r="2" spans="1:5" ht="36" customHeight="1" x14ac:dyDescent="0.3">
      <c r="A2" s="7" t="s">
        <v>18</v>
      </c>
    </row>
    <row r="4" spans="1:5" ht="30" customHeight="1" x14ac:dyDescent="0.3">
      <c r="A4" s="8" t="s">
        <v>19</v>
      </c>
    </row>
    <row r="5" spans="1:5" x14ac:dyDescent="0.3">
      <c r="A5" s="5" t="s">
        <v>20</v>
      </c>
      <c r="B5" s="9" t="s">
        <v>21</v>
      </c>
    </row>
    <row r="6" spans="1:5" x14ac:dyDescent="0.3">
      <c r="A6" s="5" t="s">
        <v>22</v>
      </c>
      <c r="B6" s="9" t="s">
        <v>23</v>
      </c>
    </row>
    <row r="7" spans="1:5" x14ac:dyDescent="0.3">
      <c r="A7" s="5" t="s">
        <v>24</v>
      </c>
      <c r="B7" s="9" t="s">
        <v>25</v>
      </c>
    </row>
    <row r="8" spans="1:5" ht="25.5" customHeight="1" x14ac:dyDescent="0.3">
      <c r="A8" s="5" t="s">
        <v>26</v>
      </c>
      <c r="B8" s="9" t="s">
        <v>27</v>
      </c>
    </row>
    <row r="9" spans="1:5" x14ac:dyDescent="0.3">
      <c r="A9" s="5" t="s">
        <v>28</v>
      </c>
      <c r="B9" s="9" t="s">
        <v>29</v>
      </c>
    </row>
    <row r="11" spans="1:5" ht="45" customHeight="1" x14ac:dyDescent="0.3">
      <c r="A11" s="8" t="s">
        <v>30</v>
      </c>
    </row>
    <row r="12" spans="1:5" x14ac:dyDescent="0.3">
      <c r="A12" s="10" t="s">
        <v>31</v>
      </c>
      <c r="B12" s="10" t="s">
        <v>32</v>
      </c>
      <c r="C12" s="10" t="s">
        <v>33</v>
      </c>
      <c r="D12" s="10" t="s">
        <v>34</v>
      </c>
      <c r="E12" s="10" t="s">
        <v>35</v>
      </c>
    </row>
    <row r="13" spans="1:5" ht="25.5" customHeight="1" x14ac:dyDescent="0.3">
      <c r="A13" s="5" t="s">
        <v>36</v>
      </c>
      <c r="B13" s="9" t="s">
        <v>37</v>
      </c>
      <c r="C13" s="9" t="s">
        <v>38</v>
      </c>
      <c r="D13" s="9" t="s">
        <v>39</v>
      </c>
      <c r="E13" s="9" t="s">
        <v>40</v>
      </c>
    </row>
    <row r="14" spans="1:5" ht="25.5" customHeight="1" x14ac:dyDescent="0.3">
      <c r="A14" s="5" t="s">
        <v>41</v>
      </c>
      <c r="B14" s="9" t="s">
        <v>42</v>
      </c>
      <c r="C14" s="9" t="s">
        <v>43</v>
      </c>
      <c r="D14" s="9" t="s">
        <v>44</v>
      </c>
      <c r="E14" s="9" t="s">
        <v>45</v>
      </c>
    </row>
    <row r="15" spans="1:5" ht="25.5" customHeight="1" x14ac:dyDescent="0.3">
      <c r="A15" s="5" t="s">
        <v>46</v>
      </c>
      <c r="B15" s="9" t="s">
        <v>47</v>
      </c>
      <c r="C15" s="9" t="s">
        <v>48</v>
      </c>
      <c r="D15" s="9" t="s">
        <v>49</v>
      </c>
      <c r="E15" s="9" t="s">
        <v>50</v>
      </c>
    </row>
    <row r="16" spans="1:5" ht="25.5" customHeight="1" x14ac:dyDescent="0.3">
      <c r="A16" s="5" t="s">
        <v>51</v>
      </c>
      <c r="B16" s="9" t="s">
        <v>52</v>
      </c>
      <c r="C16" s="9" t="s">
        <v>53</v>
      </c>
      <c r="D16" s="9" t="s">
        <v>54</v>
      </c>
      <c r="E16" s="9" t="s">
        <v>55</v>
      </c>
    </row>
    <row r="17" spans="1:5" ht="25.5" customHeight="1" x14ac:dyDescent="0.3">
      <c r="A17" s="5" t="s">
        <v>56</v>
      </c>
      <c r="B17" s="9" t="s">
        <v>57</v>
      </c>
      <c r="C17" s="9" t="s">
        <v>58</v>
      </c>
      <c r="D17" s="9" t="s">
        <v>59</v>
      </c>
      <c r="E17" s="9" t="s">
        <v>60</v>
      </c>
    </row>
    <row r="19" spans="1:5" ht="30" customHeight="1" x14ac:dyDescent="0.3">
      <c r="A19" s="8" t="s">
        <v>61</v>
      </c>
    </row>
    <row r="20" spans="1:5" x14ac:dyDescent="0.3">
      <c r="A20" s="10" t="s">
        <v>31</v>
      </c>
      <c r="B20" s="10" t="s">
        <v>62</v>
      </c>
      <c r="C20" s="10" t="s">
        <v>63</v>
      </c>
      <c r="D20" s="10" t="s">
        <v>64</v>
      </c>
    </row>
    <row r="21" spans="1:5" ht="25.5" customHeight="1" x14ac:dyDescent="0.3">
      <c r="A21" s="5" t="s">
        <v>65</v>
      </c>
      <c r="B21" s="9" t="s">
        <v>66</v>
      </c>
      <c r="C21" s="11"/>
      <c r="D21" s="9" t="s">
        <v>67</v>
      </c>
    </row>
    <row r="22" spans="1:5" x14ac:dyDescent="0.3">
      <c r="A22" s="5" t="s">
        <v>68</v>
      </c>
      <c r="B22" s="9" t="s">
        <v>69</v>
      </c>
      <c r="C22" s="12"/>
      <c r="D22" s="9" t="s">
        <v>70</v>
      </c>
    </row>
    <row r="23" spans="1:5" x14ac:dyDescent="0.3">
      <c r="A23" s="5" t="s">
        <v>71</v>
      </c>
      <c r="B23" s="9" t="s">
        <v>72</v>
      </c>
      <c r="C23" s="13"/>
      <c r="D23" s="9" t="s">
        <v>73</v>
      </c>
    </row>
    <row r="24" spans="1:5" ht="38.25" customHeight="1" x14ac:dyDescent="0.3">
      <c r="A24" s="5" t="s">
        <v>74</v>
      </c>
      <c r="B24" s="9" t="s">
        <v>75</v>
      </c>
      <c r="C24" s="14"/>
      <c r="D24" s="9" t="s">
        <v>76</v>
      </c>
    </row>
    <row r="26" spans="1:5" x14ac:dyDescent="0.3">
      <c r="A26" s="8" t="s">
        <v>77</v>
      </c>
    </row>
    <row r="27" spans="1:5" ht="25.5" customHeight="1" x14ac:dyDescent="0.3">
      <c r="A27" s="5" t="s">
        <v>78</v>
      </c>
      <c r="B27" s="9" t="s">
        <v>79</v>
      </c>
    </row>
    <row r="28" spans="1:5" ht="25.5" customHeight="1" x14ac:dyDescent="0.3">
      <c r="A28" s="5" t="s">
        <v>80</v>
      </c>
      <c r="B28" s="9" t="s">
        <v>81</v>
      </c>
    </row>
    <row r="29" spans="1:5" x14ac:dyDescent="0.3">
      <c r="A29" s="5" t="s">
        <v>82</v>
      </c>
      <c r="B29" s="9" t="s">
        <v>83</v>
      </c>
    </row>
    <row r="30" spans="1:5" ht="25.5" customHeight="1" x14ac:dyDescent="0.3">
      <c r="A30" s="5" t="s">
        <v>84</v>
      </c>
      <c r="B30" s="9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8"/>
  <sheetViews>
    <sheetView tabSelected="1" zoomScaleNormal="100" workbookViewId="0">
      <pane ySplit="1" topLeftCell="A2" activePane="bottomLeft" state="frozen"/>
      <selection pane="bottomLeft" activeCell="B13" sqref="B13"/>
    </sheetView>
  </sheetViews>
  <sheetFormatPr defaultColWidth="8.6640625" defaultRowHeight="14.4" x14ac:dyDescent="0.3"/>
  <cols>
    <col min="1" max="1" width="8" customWidth="1"/>
    <col min="2" max="2" width="32" customWidth="1"/>
    <col min="3" max="3" width="13" customWidth="1"/>
    <col min="4" max="5" width="22" customWidth="1"/>
    <col min="6" max="6" width="18" customWidth="1"/>
    <col min="7" max="7" width="22" customWidth="1"/>
    <col min="8" max="8" width="16" customWidth="1"/>
    <col min="9" max="9" width="34" customWidth="1"/>
  </cols>
  <sheetData>
    <row r="1" spans="1:9" ht="30" customHeight="1" x14ac:dyDescent="0.3">
      <c r="A1" s="15" t="s">
        <v>86</v>
      </c>
      <c r="B1" s="15" t="s">
        <v>87</v>
      </c>
      <c r="C1" s="15" t="s">
        <v>88</v>
      </c>
      <c r="D1" s="15" t="s">
        <v>89</v>
      </c>
      <c r="E1" s="15" t="s">
        <v>90</v>
      </c>
      <c r="F1" s="15" t="s">
        <v>91</v>
      </c>
      <c r="G1" s="15" t="s">
        <v>92</v>
      </c>
      <c r="H1" s="15" t="s">
        <v>93</v>
      </c>
      <c r="I1" s="15" t="s">
        <v>94</v>
      </c>
    </row>
    <row r="2" spans="1:9" ht="25.5" customHeight="1" x14ac:dyDescent="0.3">
      <c r="A2" s="16" t="s">
        <v>95</v>
      </c>
      <c r="B2" s="16" t="s">
        <v>96</v>
      </c>
      <c r="C2" s="16" t="s">
        <v>97</v>
      </c>
      <c r="D2" s="16" t="s">
        <v>98</v>
      </c>
      <c r="E2" s="16" t="s">
        <v>99</v>
      </c>
      <c r="F2" s="16" t="s">
        <v>100</v>
      </c>
      <c r="G2" s="16" t="s">
        <v>101</v>
      </c>
      <c r="H2" s="16" t="s">
        <v>102</v>
      </c>
      <c r="I2" s="16" t="s">
        <v>103</v>
      </c>
    </row>
    <row r="3" spans="1:9" ht="25.5" customHeight="1" x14ac:dyDescent="0.3">
      <c r="A3" s="16" t="s">
        <v>104</v>
      </c>
      <c r="B3" s="16" t="s">
        <v>105</v>
      </c>
      <c r="C3" s="16" t="s">
        <v>106</v>
      </c>
      <c r="D3" s="16" t="s">
        <v>107</v>
      </c>
      <c r="E3" s="16" t="s">
        <v>99</v>
      </c>
      <c r="F3" s="16" t="s">
        <v>100</v>
      </c>
      <c r="G3" s="16" t="s">
        <v>108</v>
      </c>
      <c r="H3" s="16" t="s">
        <v>109</v>
      </c>
      <c r="I3" s="16" t="s">
        <v>110</v>
      </c>
    </row>
    <row r="4" spans="1:9" ht="25.5" customHeight="1" x14ac:dyDescent="0.3">
      <c r="A4" s="16" t="s">
        <v>111</v>
      </c>
      <c r="B4" s="16" t="s">
        <v>112</v>
      </c>
      <c r="C4" s="16" t="s">
        <v>113</v>
      </c>
      <c r="D4" s="16" t="s">
        <v>114</v>
      </c>
      <c r="E4" s="16" t="s">
        <v>115</v>
      </c>
      <c r="F4" s="16" t="s">
        <v>116</v>
      </c>
      <c r="G4" s="16" t="s">
        <v>117</v>
      </c>
      <c r="H4" s="16" t="s">
        <v>118</v>
      </c>
      <c r="I4" s="16" t="s">
        <v>119</v>
      </c>
    </row>
    <row r="5" spans="1:9" ht="25.5" customHeight="1" x14ac:dyDescent="0.3">
      <c r="A5" s="16" t="s">
        <v>120</v>
      </c>
      <c r="B5" s="16" t="s">
        <v>121</v>
      </c>
      <c r="C5" s="16" t="s">
        <v>113</v>
      </c>
      <c r="D5" s="16" t="s">
        <v>122</v>
      </c>
      <c r="E5" s="16" t="s">
        <v>99</v>
      </c>
      <c r="F5" s="16" t="s">
        <v>100</v>
      </c>
      <c r="G5" s="16" t="s">
        <v>123</v>
      </c>
      <c r="H5" s="16" t="s">
        <v>124</v>
      </c>
      <c r="I5" s="16" t="s">
        <v>125</v>
      </c>
    </row>
    <row r="6" spans="1:9" ht="25.5" customHeight="1" x14ac:dyDescent="0.3">
      <c r="A6" s="16" t="s">
        <v>126</v>
      </c>
      <c r="B6" s="16" t="s">
        <v>127</v>
      </c>
      <c r="C6" s="16" t="s">
        <v>128</v>
      </c>
      <c r="D6" s="16" t="s">
        <v>122</v>
      </c>
      <c r="E6" s="16" t="s">
        <v>99</v>
      </c>
      <c r="F6" s="16" t="s">
        <v>116</v>
      </c>
      <c r="G6" s="16" t="s">
        <v>129</v>
      </c>
      <c r="H6" s="16" t="s">
        <v>130</v>
      </c>
      <c r="I6" s="16" t="s">
        <v>131</v>
      </c>
    </row>
    <row r="7" spans="1:9" ht="25.5" customHeight="1" x14ac:dyDescent="0.3">
      <c r="A7" s="16" t="s">
        <v>132</v>
      </c>
      <c r="B7" s="16" t="s">
        <v>133</v>
      </c>
      <c r="C7" s="16" t="s">
        <v>97</v>
      </c>
      <c r="D7" s="16" t="s">
        <v>134</v>
      </c>
      <c r="E7" s="16" t="s">
        <v>99</v>
      </c>
      <c r="F7" s="16" t="s">
        <v>116</v>
      </c>
      <c r="G7" s="16" t="s">
        <v>135</v>
      </c>
      <c r="H7" s="16" t="s">
        <v>136</v>
      </c>
      <c r="I7" s="16" t="s">
        <v>137</v>
      </c>
    </row>
    <row r="8" spans="1:9" ht="26.4" x14ac:dyDescent="0.3">
      <c r="A8" s="16" t="s">
        <v>138</v>
      </c>
      <c r="B8" s="16" t="s">
        <v>139</v>
      </c>
      <c r="C8" s="16" t="s">
        <v>106</v>
      </c>
      <c r="D8" s="16" t="s">
        <v>134</v>
      </c>
      <c r="E8" s="16" t="s">
        <v>140</v>
      </c>
      <c r="F8" s="16" t="s">
        <v>116</v>
      </c>
      <c r="G8" s="16" t="s">
        <v>141</v>
      </c>
      <c r="H8" s="16" t="s">
        <v>142</v>
      </c>
      <c r="I8" s="16" t="s">
        <v>143</v>
      </c>
    </row>
    <row r="9" spans="1:9" ht="26.4" x14ac:dyDescent="0.3">
      <c r="A9" s="16" t="s">
        <v>144</v>
      </c>
      <c r="B9" s="16" t="s">
        <v>145</v>
      </c>
      <c r="C9" s="16" t="s">
        <v>128</v>
      </c>
      <c r="D9" s="16" t="s">
        <v>146</v>
      </c>
      <c r="E9" s="16" t="s">
        <v>99</v>
      </c>
      <c r="F9" s="16" t="s">
        <v>116</v>
      </c>
      <c r="G9" s="16" t="s">
        <v>147</v>
      </c>
      <c r="H9" s="16" t="s">
        <v>126</v>
      </c>
      <c r="I9" s="16" t="s">
        <v>148</v>
      </c>
    </row>
    <row r="10" spans="1:9" ht="26.4" x14ac:dyDescent="0.3">
      <c r="A10" s="16" t="s">
        <v>149</v>
      </c>
      <c r="B10" s="16" t="s">
        <v>150</v>
      </c>
      <c r="C10" s="16" t="s">
        <v>113</v>
      </c>
      <c r="D10" s="16" t="s">
        <v>98</v>
      </c>
      <c r="E10" s="16" t="s">
        <v>151</v>
      </c>
      <c r="F10" s="16" t="s">
        <v>116</v>
      </c>
      <c r="G10" s="16" t="s">
        <v>152</v>
      </c>
      <c r="H10" s="16" t="s">
        <v>118</v>
      </c>
      <c r="I10" s="16" t="s">
        <v>153</v>
      </c>
    </row>
    <row r="11" spans="1:9" ht="26.4" x14ac:dyDescent="0.3">
      <c r="A11" s="16" t="s">
        <v>154</v>
      </c>
      <c r="B11" s="16" t="s">
        <v>155</v>
      </c>
      <c r="C11" s="16" t="s">
        <v>113</v>
      </c>
      <c r="D11" s="16" t="s">
        <v>98</v>
      </c>
      <c r="E11" s="16" t="s">
        <v>151</v>
      </c>
      <c r="F11" s="16" t="s">
        <v>116</v>
      </c>
      <c r="G11" s="16" t="s">
        <v>156</v>
      </c>
      <c r="H11" s="16" t="s">
        <v>157</v>
      </c>
      <c r="I11" s="16" t="s">
        <v>158</v>
      </c>
    </row>
    <row r="12" spans="1:9" ht="26.4" x14ac:dyDescent="0.3">
      <c r="A12" s="16" t="s">
        <v>159</v>
      </c>
      <c r="B12" s="16" t="s">
        <v>160</v>
      </c>
      <c r="C12" s="16" t="s">
        <v>161</v>
      </c>
      <c r="D12" s="16" t="s">
        <v>146</v>
      </c>
      <c r="E12" s="16" t="s">
        <v>99</v>
      </c>
      <c r="F12" s="16" t="s">
        <v>116</v>
      </c>
      <c r="G12" s="16" t="s">
        <v>162</v>
      </c>
      <c r="H12" s="16" t="s">
        <v>144</v>
      </c>
      <c r="I12" s="16" t="s">
        <v>163</v>
      </c>
    </row>
    <row r="13" spans="1:9" ht="39.6" x14ac:dyDescent="0.3">
      <c r="A13" s="16" t="s">
        <v>164</v>
      </c>
      <c r="B13" s="16" t="s">
        <v>165</v>
      </c>
      <c r="C13" s="16" t="s">
        <v>106</v>
      </c>
      <c r="D13" s="16" t="s">
        <v>122</v>
      </c>
      <c r="E13" s="16" t="s">
        <v>99</v>
      </c>
      <c r="F13" s="16" t="s">
        <v>100</v>
      </c>
      <c r="G13" s="16" t="s">
        <v>166</v>
      </c>
      <c r="H13" s="16" t="s">
        <v>167</v>
      </c>
      <c r="I13" s="16" t="s">
        <v>168</v>
      </c>
    </row>
    <row r="14" spans="1:9" ht="26.4" x14ac:dyDescent="0.3">
      <c r="A14" s="16" t="s">
        <v>169</v>
      </c>
      <c r="B14" s="16" t="s">
        <v>170</v>
      </c>
      <c r="C14" s="16" t="s">
        <v>106</v>
      </c>
      <c r="D14" s="16" t="s">
        <v>122</v>
      </c>
      <c r="E14" s="16" t="s">
        <v>99</v>
      </c>
      <c r="F14" s="16" t="s">
        <v>171</v>
      </c>
      <c r="G14" s="16" t="s">
        <v>172</v>
      </c>
      <c r="H14" s="16" t="s">
        <v>173</v>
      </c>
      <c r="I14" s="16" t="s">
        <v>174</v>
      </c>
    </row>
    <row r="15" spans="1:9" ht="26.4" x14ac:dyDescent="0.3">
      <c r="A15" s="16" t="s">
        <v>175</v>
      </c>
      <c r="B15" s="16" t="s">
        <v>176</v>
      </c>
      <c r="C15" s="16" t="s">
        <v>177</v>
      </c>
      <c r="D15" s="16" t="s">
        <v>98</v>
      </c>
      <c r="E15" s="16" t="s">
        <v>143</v>
      </c>
      <c r="F15" s="16" t="s">
        <v>116</v>
      </c>
      <c r="G15" s="16" t="s">
        <v>178</v>
      </c>
      <c r="H15" s="16" t="s">
        <v>143</v>
      </c>
      <c r="I15" s="16" t="s">
        <v>179</v>
      </c>
    </row>
    <row r="16" spans="1:9" ht="26.4" x14ac:dyDescent="0.3">
      <c r="A16" s="16" t="s">
        <v>180</v>
      </c>
      <c r="B16" s="16" t="s">
        <v>181</v>
      </c>
      <c r="C16" s="16" t="s">
        <v>177</v>
      </c>
      <c r="D16" s="16" t="s">
        <v>146</v>
      </c>
      <c r="E16" s="16" t="s">
        <v>143</v>
      </c>
      <c r="F16" s="16" t="s">
        <v>116</v>
      </c>
      <c r="G16" s="16" t="s">
        <v>182</v>
      </c>
      <c r="H16" s="16" t="s">
        <v>143</v>
      </c>
      <c r="I16" s="16" t="s">
        <v>183</v>
      </c>
    </row>
    <row r="17" spans="1:9" x14ac:dyDescent="0.3">
      <c r="A17" s="16" t="s">
        <v>184</v>
      </c>
      <c r="B17" s="16" t="s">
        <v>185</v>
      </c>
      <c r="C17" s="16" t="s">
        <v>186</v>
      </c>
      <c r="D17" s="16" t="s">
        <v>146</v>
      </c>
      <c r="E17" s="16" t="s">
        <v>187</v>
      </c>
      <c r="F17" s="16" t="s">
        <v>116</v>
      </c>
      <c r="G17" s="16" t="s">
        <v>188</v>
      </c>
      <c r="H17" s="16" t="s">
        <v>143</v>
      </c>
      <c r="I17" s="16" t="s">
        <v>143</v>
      </c>
    </row>
    <row r="18" spans="1:9" ht="26.4" x14ac:dyDescent="0.3">
      <c r="A18" s="16" t="s">
        <v>189</v>
      </c>
      <c r="B18" s="16" t="s">
        <v>190</v>
      </c>
      <c r="C18" s="16" t="s">
        <v>106</v>
      </c>
      <c r="D18" s="16" t="s">
        <v>146</v>
      </c>
      <c r="E18" s="16" t="s">
        <v>99</v>
      </c>
      <c r="F18" s="16" t="s">
        <v>171</v>
      </c>
      <c r="G18" s="16" t="s">
        <v>191</v>
      </c>
      <c r="H18" s="16" t="s">
        <v>192</v>
      </c>
      <c r="I18" s="16" t="s">
        <v>193</v>
      </c>
    </row>
    <row r="19" spans="1:9" x14ac:dyDescent="0.3">
      <c r="A19" s="16"/>
      <c r="B19" s="16"/>
      <c r="C19" s="16"/>
      <c r="D19" s="16"/>
      <c r="E19" s="16"/>
      <c r="F19" s="16"/>
      <c r="G19" s="16"/>
      <c r="H19" s="16"/>
      <c r="I19" s="16"/>
    </row>
    <row r="20" spans="1:9" x14ac:dyDescent="0.3">
      <c r="A20" s="16"/>
      <c r="B20" s="16"/>
      <c r="C20" s="16"/>
      <c r="D20" s="16"/>
      <c r="E20" s="16"/>
      <c r="F20" s="16"/>
      <c r="G20" s="16"/>
      <c r="H20" s="16"/>
      <c r="I20" s="16"/>
    </row>
    <row r="21" spans="1:9" x14ac:dyDescent="0.3">
      <c r="A21" s="16"/>
      <c r="B21" s="16"/>
      <c r="C21" s="16"/>
      <c r="D21" s="16"/>
      <c r="E21" s="16"/>
      <c r="F21" s="16"/>
      <c r="G21" s="16"/>
      <c r="H21" s="16"/>
      <c r="I21" s="16"/>
    </row>
    <row r="22" spans="1:9" x14ac:dyDescent="0.3">
      <c r="A22" s="16"/>
      <c r="B22" s="16"/>
      <c r="C22" s="16"/>
      <c r="D22" s="16"/>
      <c r="E22" s="16"/>
      <c r="F22" s="16"/>
      <c r="G22" s="16"/>
      <c r="H22" s="16"/>
      <c r="I22" s="16"/>
    </row>
    <row r="23" spans="1:9" x14ac:dyDescent="0.3">
      <c r="A23" s="16"/>
      <c r="B23" s="16"/>
      <c r="C23" s="16"/>
      <c r="D23" s="16"/>
      <c r="E23" s="16"/>
      <c r="F23" s="16"/>
      <c r="G23" s="16"/>
      <c r="H23" s="16"/>
      <c r="I23" s="16"/>
    </row>
    <row r="24" spans="1:9" x14ac:dyDescent="0.3">
      <c r="A24" s="16"/>
      <c r="B24" s="16"/>
      <c r="C24" s="16"/>
      <c r="D24" s="16"/>
      <c r="E24" s="16"/>
      <c r="F24" s="16"/>
      <c r="G24" s="16"/>
      <c r="H24" s="16"/>
      <c r="I24" s="16"/>
    </row>
    <row r="25" spans="1:9" x14ac:dyDescent="0.3">
      <c r="A25" s="16"/>
      <c r="B25" s="16"/>
      <c r="C25" s="16"/>
      <c r="D25" s="16"/>
      <c r="E25" s="16"/>
      <c r="F25" s="16"/>
      <c r="G25" s="16"/>
      <c r="H25" s="16"/>
      <c r="I25" s="16"/>
    </row>
    <row r="26" spans="1:9" x14ac:dyDescent="0.3">
      <c r="A26" s="16"/>
      <c r="B26" s="16"/>
      <c r="C26" s="16"/>
      <c r="D26" s="16"/>
      <c r="E26" s="16"/>
      <c r="F26" s="16"/>
      <c r="G26" s="16"/>
      <c r="H26" s="16"/>
      <c r="I26" s="16"/>
    </row>
    <row r="27" spans="1:9" x14ac:dyDescent="0.3">
      <c r="A27" s="16"/>
      <c r="B27" s="16"/>
      <c r="C27" s="16"/>
      <c r="D27" s="16"/>
      <c r="E27" s="16"/>
      <c r="F27" s="16"/>
      <c r="G27" s="16"/>
      <c r="H27" s="16"/>
      <c r="I27" s="16"/>
    </row>
    <row r="28" spans="1:9" x14ac:dyDescent="0.3">
      <c r="A28" s="16"/>
      <c r="B28" s="16"/>
      <c r="C28" s="16"/>
      <c r="D28" s="16"/>
      <c r="E28" s="16"/>
      <c r="F28" s="16"/>
      <c r="G28" s="16"/>
      <c r="H28" s="16"/>
      <c r="I28" s="16"/>
    </row>
    <row r="29" spans="1:9" x14ac:dyDescent="0.3">
      <c r="A29" s="16"/>
      <c r="B29" s="16"/>
      <c r="C29" s="16"/>
      <c r="D29" s="16"/>
      <c r="E29" s="16"/>
      <c r="F29" s="16"/>
      <c r="G29" s="16"/>
      <c r="H29" s="16"/>
      <c r="I29" s="16"/>
    </row>
    <row r="30" spans="1:9" x14ac:dyDescent="0.3">
      <c r="A30" s="16"/>
      <c r="B30" s="16"/>
      <c r="C30" s="16"/>
      <c r="D30" s="16"/>
      <c r="E30" s="16"/>
      <c r="F30" s="16"/>
      <c r="G30" s="16"/>
      <c r="H30" s="16"/>
      <c r="I30" s="16"/>
    </row>
    <row r="31" spans="1:9" x14ac:dyDescent="0.3">
      <c r="A31" s="16"/>
      <c r="B31" s="16"/>
      <c r="C31" s="16"/>
      <c r="D31" s="16"/>
      <c r="E31" s="16"/>
      <c r="F31" s="16"/>
      <c r="G31" s="16"/>
      <c r="H31" s="16"/>
      <c r="I31" s="16"/>
    </row>
    <row r="32" spans="1:9" x14ac:dyDescent="0.3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3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3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3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3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3">
      <c r="A37" s="16"/>
      <c r="B37" s="16"/>
      <c r="C37" s="16"/>
      <c r="D37" s="16"/>
      <c r="E37" s="16"/>
      <c r="F37" s="16"/>
      <c r="G37" s="16"/>
      <c r="H37" s="16"/>
      <c r="I37" s="16"/>
    </row>
    <row r="38" spans="1:9" x14ac:dyDescent="0.3">
      <c r="A38" s="16"/>
      <c r="B38" s="16"/>
      <c r="C38" s="16"/>
      <c r="D38" s="16"/>
      <c r="E38" s="16"/>
      <c r="F38" s="16"/>
      <c r="G38" s="16"/>
      <c r="H38" s="16"/>
      <c r="I38" s="16"/>
    </row>
    <row r="39" spans="1:9" x14ac:dyDescent="0.3">
      <c r="A39" s="16"/>
      <c r="B39" s="16"/>
      <c r="C39" s="16"/>
      <c r="D39" s="16"/>
      <c r="E39" s="16"/>
      <c r="F39" s="16"/>
      <c r="G39" s="16"/>
      <c r="H39" s="16"/>
      <c r="I39" s="16"/>
    </row>
    <row r="40" spans="1:9" x14ac:dyDescent="0.3">
      <c r="A40" s="16"/>
      <c r="B40" s="16"/>
      <c r="C40" s="16"/>
      <c r="D40" s="16"/>
      <c r="E40" s="16"/>
      <c r="F40" s="16"/>
      <c r="G40" s="16"/>
      <c r="H40" s="16"/>
      <c r="I40" s="16"/>
    </row>
    <row r="41" spans="1:9" x14ac:dyDescent="0.3">
      <c r="A41" s="16"/>
      <c r="B41" s="16"/>
      <c r="C41" s="16"/>
      <c r="D41" s="16"/>
      <c r="E41" s="16"/>
      <c r="F41" s="16"/>
      <c r="G41" s="16"/>
      <c r="H41" s="16"/>
      <c r="I41" s="16"/>
    </row>
    <row r="42" spans="1:9" x14ac:dyDescent="0.3">
      <c r="A42" s="16"/>
      <c r="B42" s="16"/>
      <c r="C42" s="16"/>
      <c r="D42" s="16"/>
      <c r="E42" s="16"/>
      <c r="F42" s="16"/>
      <c r="G42" s="16"/>
      <c r="H42" s="16"/>
      <c r="I42" s="16"/>
    </row>
    <row r="43" spans="1:9" x14ac:dyDescent="0.3">
      <c r="A43" s="16"/>
      <c r="B43" s="16"/>
      <c r="C43" s="16"/>
      <c r="D43" s="16"/>
      <c r="E43" s="16"/>
      <c r="F43" s="16"/>
      <c r="G43" s="16"/>
      <c r="H43" s="16"/>
      <c r="I43" s="16"/>
    </row>
    <row r="44" spans="1:9" x14ac:dyDescent="0.3">
      <c r="A44" s="16"/>
      <c r="B44" s="16"/>
      <c r="C44" s="16"/>
      <c r="D44" s="16"/>
      <c r="E44" s="16"/>
      <c r="F44" s="16"/>
      <c r="G44" s="16"/>
      <c r="H44" s="16"/>
      <c r="I44" s="16"/>
    </row>
    <row r="45" spans="1:9" x14ac:dyDescent="0.3">
      <c r="A45" s="16"/>
      <c r="B45" s="16"/>
      <c r="C45" s="16"/>
      <c r="D45" s="16"/>
      <c r="E45" s="16"/>
      <c r="F45" s="16"/>
      <c r="G45" s="16"/>
      <c r="H45" s="16"/>
      <c r="I45" s="16"/>
    </row>
    <row r="46" spans="1:9" x14ac:dyDescent="0.3">
      <c r="A46" s="16"/>
      <c r="B46" s="16"/>
      <c r="C46" s="16"/>
      <c r="D46" s="16"/>
      <c r="E46" s="16"/>
      <c r="F46" s="16"/>
      <c r="G46" s="16"/>
      <c r="H46" s="16"/>
      <c r="I46" s="16"/>
    </row>
    <row r="47" spans="1:9" x14ac:dyDescent="0.3">
      <c r="A47" s="16"/>
      <c r="B47" s="16"/>
      <c r="C47" s="16"/>
      <c r="D47" s="16"/>
      <c r="E47" s="16"/>
      <c r="F47" s="16"/>
      <c r="G47" s="16"/>
      <c r="H47" s="16"/>
      <c r="I47" s="16"/>
    </row>
    <row r="48" spans="1:9" x14ac:dyDescent="0.3">
      <c r="A48" s="16"/>
      <c r="B48" s="16"/>
      <c r="C48" s="16"/>
      <c r="D48" s="16"/>
      <c r="E48" s="16"/>
      <c r="F48" s="16"/>
      <c r="G48" s="16"/>
      <c r="H48" s="16"/>
      <c r="I48" s="16"/>
    </row>
    <row r="49" spans="1:9" x14ac:dyDescent="0.3">
      <c r="A49" s="16"/>
      <c r="B49" s="16"/>
      <c r="C49" s="16"/>
      <c r="D49" s="16"/>
      <c r="E49" s="16"/>
      <c r="F49" s="16"/>
      <c r="G49" s="16"/>
      <c r="H49" s="16"/>
      <c r="I49" s="16"/>
    </row>
    <row r="50" spans="1:9" x14ac:dyDescent="0.3">
      <c r="A50" s="16"/>
      <c r="B50" s="16"/>
      <c r="C50" s="16"/>
      <c r="D50" s="16"/>
      <c r="E50" s="16"/>
      <c r="F50" s="16"/>
      <c r="G50" s="16"/>
      <c r="H50" s="16"/>
      <c r="I50" s="16"/>
    </row>
    <row r="51" spans="1:9" x14ac:dyDescent="0.3">
      <c r="A51" s="16"/>
      <c r="B51" s="16"/>
      <c r="C51" s="16"/>
      <c r="D51" s="16"/>
      <c r="E51" s="16"/>
      <c r="F51" s="16"/>
      <c r="G51" s="16"/>
      <c r="H51" s="16"/>
      <c r="I51" s="16"/>
    </row>
    <row r="52" spans="1:9" x14ac:dyDescent="0.3">
      <c r="A52" s="16"/>
      <c r="B52" s="16"/>
      <c r="C52" s="16"/>
      <c r="D52" s="16"/>
      <c r="E52" s="16"/>
      <c r="F52" s="16"/>
      <c r="G52" s="16"/>
      <c r="H52" s="16"/>
      <c r="I52" s="16"/>
    </row>
    <row r="53" spans="1:9" x14ac:dyDescent="0.3">
      <c r="A53" s="16"/>
      <c r="B53" s="16"/>
      <c r="C53" s="16"/>
      <c r="D53" s="16"/>
      <c r="E53" s="16"/>
      <c r="F53" s="16"/>
      <c r="G53" s="16"/>
      <c r="H53" s="16"/>
      <c r="I53" s="16"/>
    </row>
    <row r="54" spans="1:9" x14ac:dyDescent="0.3">
      <c r="A54" s="16"/>
      <c r="B54" s="16"/>
      <c r="C54" s="16"/>
      <c r="D54" s="16"/>
      <c r="E54" s="16"/>
      <c r="F54" s="16"/>
      <c r="G54" s="16"/>
      <c r="H54" s="16"/>
      <c r="I54" s="16"/>
    </row>
    <row r="55" spans="1:9" x14ac:dyDescent="0.3">
      <c r="A55" s="16"/>
      <c r="B55" s="16"/>
      <c r="C55" s="16"/>
      <c r="D55" s="16"/>
      <c r="E55" s="16"/>
      <c r="F55" s="16"/>
      <c r="G55" s="16"/>
      <c r="H55" s="16"/>
      <c r="I55" s="16"/>
    </row>
    <row r="56" spans="1:9" x14ac:dyDescent="0.3">
      <c r="A56" s="16"/>
      <c r="B56" s="16"/>
      <c r="C56" s="16"/>
      <c r="D56" s="16"/>
      <c r="E56" s="16"/>
      <c r="F56" s="16"/>
      <c r="G56" s="16"/>
      <c r="H56" s="16"/>
      <c r="I56" s="16"/>
    </row>
    <row r="57" spans="1:9" x14ac:dyDescent="0.3">
      <c r="A57" s="16"/>
      <c r="B57" s="16"/>
      <c r="C57" s="16"/>
      <c r="D57" s="16"/>
      <c r="E57" s="16"/>
      <c r="F57" s="16"/>
      <c r="G57" s="16"/>
      <c r="H57" s="16"/>
      <c r="I57" s="16"/>
    </row>
    <row r="58" spans="1:9" x14ac:dyDescent="0.3">
      <c r="A58" s="16"/>
      <c r="B58" s="16"/>
      <c r="C58" s="16"/>
      <c r="D58" s="16"/>
      <c r="E58" s="16"/>
      <c r="F58" s="16"/>
      <c r="G58" s="16"/>
      <c r="H58" s="16"/>
      <c r="I58" s="16"/>
    </row>
    <row r="59" spans="1:9" x14ac:dyDescent="0.3">
      <c r="A59" s="16"/>
      <c r="B59" s="16"/>
      <c r="C59" s="16"/>
      <c r="D59" s="16"/>
      <c r="E59" s="16"/>
      <c r="F59" s="16"/>
      <c r="G59" s="16"/>
      <c r="H59" s="16"/>
      <c r="I59" s="16"/>
    </row>
    <row r="60" spans="1:9" x14ac:dyDescent="0.3">
      <c r="A60" s="16"/>
      <c r="B60" s="16"/>
      <c r="C60" s="16"/>
      <c r="D60" s="16"/>
      <c r="E60" s="16"/>
      <c r="F60" s="16"/>
      <c r="G60" s="16"/>
      <c r="H60" s="16"/>
      <c r="I60" s="16"/>
    </row>
    <row r="61" spans="1:9" x14ac:dyDescent="0.3">
      <c r="A61" s="16"/>
      <c r="B61" s="16"/>
      <c r="C61" s="16"/>
      <c r="D61" s="16"/>
      <c r="E61" s="16"/>
      <c r="F61" s="16"/>
      <c r="G61" s="16"/>
      <c r="H61" s="16"/>
      <c r="I61" s="16"/>
    </row>
    <row r="62" spans="1:9" x14ac:dyDescent="0.3">
      <c r="A62" s="16"/>
      <c r="B62" s="16"/>
      <c r="C62" s="16"/>
      <c r="D62" s="16"/>
      <c r="E62" s="16"/>
      <c r="F62" s="16"/>
      <c r="G62" s="16"/>
      <c r="H62" s="16"/>
      <c r="I62" s="16"/>
    </row>
    <row r="63" spans="1:9" x14ac:dyDescent="0.3">
      <c r="A63" s="16"/>
      <c r="B63" s="16"/>
      <c r="C63" s="16"/>
      <c r="D63" s="16"/>
      <c r="E63" s="16"/>
      <c r="F63" s="16"/>
      <c r="G63" s="16"/>
      <c r="H63" s="16"/>
      <c r="I63" s="16"/>
    </row>
    <row r="64" spans="1:9" x14ac:dyDescent="0.3">
      <c r="A64" s="16"/>
      <c r="B64" s="16"/>
      <c r="C64" s="16"/>
      <c r="D64" s="16"/>
      <c r="E64" s="16"/>
      <c r="F64" s="16"/>
      <c r="G64" s="16"/>
      <c r="H64" s="16"/>
      <c r="I64" s="16"/>
    </row>
    <row r="65" spans="1:9" x14ac:dyDescent="0.3">
      <c r="A65" s="16"/>
      <c r="B65" s="16"/>
      <c r="C65" s="16"/>
      <c r="D65" s="16"/>
      <c r="E65" s="16"/>
      <c r="F65" s="16"/>
      <c r="G65" s="16"/>
      <c r="H65" s="16"/>
      <c r="I65" s="16"/>
    </row>
    <row r="66" spans="1:9" x14ac:dyDescent="0.3">
      <c r="A66" s="16"/>
      <c r="B66" s="16"/>
      <c r="C66" s="16"/>
      <c r="D66" s="16"/>
      <c r="E66" s="16"/>
      <c r="F66" s="16"/>
      <c r="G66" s="16"/>
      <c r="H66" s="16"/>
      <c r="I66" s="16"/>
    </row>
    <row r="67" spans="1:9" x14ac:dyDescent="0.3">
      <c r="A67" s="16"/>
      <c r="B67" s="16"/>
      <c r="C67" s="16"/>
      <c r="D67" s="16"/>
      <c r="E67" s="16"/>
      <c r="F67" s="16"/>
      <c r="G67" s="16"/>
      <c r="H67" s="16"/>
      <c r="I67" s="16"/>
    </row>
    <row r="68" spans="1:9" x14ac:dyDescent="0.3">
      <c r="A68" s="16"/>
      <c r="B68" s="16"/>
      <c r="C68" s="16"/>
      <c r="D68" s="16"/>
      <c r="E68" s="16"/>
      <c r="F68" s="16"/>
      <c r="G68" s="16"/>
      <c r="H68" s="16"/>
      <c r="I68" s="16"/>
    </row>
    <row r="69" spans="1:9" x14ac:dyDescent="0.3">
      <c r="A69" s="16"/>
      <c r="B69" s="16"/>
      <c r="C69" s="16"/>
      <c r="D69" s="16"/>
      <c r="E69" s="16"/>
      <c r="F69" s="16"/>
      <c r="G69" s="16"/>
      <c r="H69" s="16"/>
      <c r="I69" s="16"/>
    </row>
    <row r="70" spans="1:9" x14ac:dyDescent="0.3">
      <c r="A70" s="16"/>
      <c r="B70" s="16"/>
      <c r="C70" s="16"/>
      <c r="D70" s="16"/>
      <c r="E70" s="16"/>
      <c r="F70" s="16"/>
      <c r="G70" s="16"/>
      <c r="H70" s="16"/>
      <c r="I70" s="16"/>
    </row>
    <row r="71" spans="1:9" x14ac:dyDescent="0.3">
      <c r="A71" s="16"/>
      <c r="B71" s="16"/>
      <c r="C71" s="16"/>
      <c r="D71" s="16"/>
      <c r="E71" s="16"/>
      <c r="F71" s="16"/>
      <c r="G71" s="16"/>
      <c r="H71" s="16"/>
      <c r="I71" s="16"/>
    </row>
    <row r="72" spans="1:9" x14ac:dyDescent="0.3">
      <c r="A72" s="16"/>
      <c r="B72" s="16"/>
      <c r="C72" s="16"/>
      <c r="D72" s="16"/>
      <c r="E72" s="16"/>
      <c r="F72" s="16"/>
      <c r="G72" s="16"/>
      <c r="H72" s="16"/>
      <c r="I72" s="16"/>
    </row>
    <row r="73" spans="1:9" x14ac:dyDescent="0.3">
      <c r="A73" s="16"/>
      <c r="B73" s="16"/>
      <c r="C73" s="16"/>
      <c r="D73" s="16"/>
      <c r="E73" s="16"/>
      <c r="F73" s="16"/>
      <c r="G73" s="16"/>
      <c r="H73" s="16"/>
      <c r="I73" s="16"/>
    </row>
    <row r="74" spans="1:9" x14ac:dyDescent="0.3">
      <c r="A74" s="16"/>
      <c r="B74" s="16"/>
      <c r="C74" s="16"/>
      <c r="D74" s="16"/>
      <c r="E74" s="16"/>
      <c r="F74" s="16"/>
      <c r="G74" s="16"/>
      <c r="H74" s="16"/>
      <c r="I74" s="16"/>
    </row>
    <row r="75" spans="1:9" x14ac:dyDescent="0.3">
      <c r="A75" s="16"/>
      <c r="B75" s="16"/>
      <c r="C75" s="16"/>
      <c r="D75" s="16"/>
      <c r="E75" s="16"/>
      <c r="F75" s="16"/>
      <c r="G75" s="16"/>
      <c r="H75" s="16"/>
      <c r="I75" s="16"/>
    </row>
    <row r="76" spans="1:9" x14ac:dyDescent="0.3">
      <c r="A76" s="16"/>
      <c r="B76" s="16"/>
      <c r="C76" s="16"/>
      <c r="D76" s="16"/>
      <c r="E76" s="16"/>
      <c r="F76" s="16"/>
      <c r="G76" s="16"/>
      <c r="H76" s="16"/>
      <c r="I76" s="16"/>
    </row>
    <row r="77" spans="1:9" x14ac:dyDescent="0.3">
      <c r="A77" s="16"/>
      <c r="B77" s="16"/>
      <c r="C77" s="16"/>
      <c r="D77" s="16"/>
      <c r="E77" s="16"/>
      <c r="F77" s="16"/>
      <c r="G77" s="16"/>
      <c r="H77" s="16"/>
      <c r="I77" s="16"/>
    </row>
    <row r="78" spans="1:9" x14ac:dyDescent="0.3">
      <c r="A78" s="16"/>
      <c r="B78" s="16"/>
      <c r="C78" s="16"/>
      <c r="D78" s="16"/>
      <c r="E78" s="16"/>
      <c r="F78" s="16"/>
      <c r="G78" s="16"/>
      <c r="H78" s="16"/>
      <c r="I78" s="16"/>
    </row>
    <row r="79" spans="1:9" x14ac:dyDescent="0.3">
      <c r="A79" s="16"/>
      <c r="B79" s="16"/>
      <c r="C79" s="16"/>
      <c r="D79" s="16"/>
      <c r="E79" s="16"/>
      <c r="F79" s="16"/>
      <c r="G79" s="16"/>
      <c r="H79" s="16"/>
      <c r="I79" s="16"/>
    </row>
    <row r="80" spans="1:9" x14ac:dyDescent="0.3">
      <c r="A80" s="16"/>
      <c r="B80" s="16"/>
      <c r="C80" s="16"/>
      <c r="D80" s="16"/>
      <c r="E80" s="16"/>
      <c r="F80" s="16"/>
      <c r="G80" s="16"/>
      <c r="H80" s="16"/>
      <c r="I80" s="16"/>
    </row>
    <row r="81" spans="1:9" x14ac:dyDescent="0.3">
      <c r="A81" s="16"/>
      <c r="B81" s="16"/>
      <c r="C81" s="16"/>
      <c r="D81" s="16"/>
      <c r="E81" s="16"/>
      <c r="F81" s="16"/>
      <c r="G81" s="16"/>
      <c r="H81" s="16"/>
      <c r="I81" s="16"/>
    </row>
    <row r="82" spans="1:9" x14ac:dyDescent="0.3">
      <c r="A82" s="16"/>
      <c r="B82" s="16"/>
      <c r="C82" s="16"/>
      <c r="D82" s="16"/>
      <c r="E82" s="16"/>
      <c r="F82" s="16"/>
      <c r="G82" s="16"/>
      <c r="H82" s="16"/>
      <c r="I82" s="16"/>
    </row>
    <row r="83" spans="1:9" x14ac:dyDescent="0.3">
      <c r="A83" s="16"/>
      <c r="B83" s="16"/>
      <c r="C83" s="16"/>
      <c r="D83" s="16"/>
      <c r="E83" s="16"/>
      <c r="F83" s="16"/>
      <c r="G83" s="16"/>
      <c r="H83" s="16"/>
      <c r="I83" s="16"/>
    </row>
    <row r="84" spans="1:9" x14ac:dyDescent="0.3">
      <c r="A84" s="16"/>
      <c r="B84" s="16"/>
      <c r="C84" s="16"/>
      <c r="D84" s="16"/>
      <c r="E84" s="16"/>
      <c r="F84" s="16"/>
      <c r="G84" s="16"/>
      <c r="H84" s="16"/>
      <c r="I84" s="16"/>
    </row>
    <row r="85" spans="1:9" x14ac:dyDescent="0.3">
      <c r="A85" s="16"/>
      <c r="B85" s="16"/>
      <c r="C85" s="16"/>
      <c r="D85" s="16"/>
      <c r="E85" s="16"/>
      <c r="F85" s="16"/>
      <c r="G85" s="16"/>
      <c r="H85" s="16"/>
      <c r="I85" s="16"/>
    </row>
    <row r="86" spans="1:9" x14ac:dyDescent="0.3">
      <c r="A86" s="16"/>
      <c r="B86" s="16"/>
      <c r="C86" s="16"/>
      <c r="D86" s="16"/>
      <c r="E86" s="16"/>
      <c r="F86" s="16"/>
      <c r="G86" s="16"/>
      <c r="H86" s="16"/>
      <c r="I86" s="16"/>
    </row>
    <row r="87" spans="1:9" x14ac:dyDescent="0.3">
      <c r="A87" s="16"/>
      <c r="B87" s="16"/>
      <c r="C87" s="16"/>
      <c r="D87" s="16"/>
      <c r="E87" s="16"/>
      <c r="F87" s="16"/>
      <c r="G87" s="16"/>
      <c r="H87" s="16"/>
      <c r="I87" s="16"/>
    </row>
    <row r="88" spans="1:9" x14ac:dyDescent="0.3">
      <c r="A88" s="16"/>
      <c r="B88" s="16"/>
      <c r="C88" s="16"/>
      <c r="D88" s="16"/>
      <c r="E88" s="16"/>
      <c r="F88" s="16"/>
      <c r="G88" s="16"/>
      <c r="H88" s="16"/>
      <c r="I88" s="16"/>
    </row>
    <row r="89" spans="1:9" x14ac:dyDescent="0.3">
      <c r="A89" s="16"/>
      <c r="B89" s="16"/>
      <c r="C89" s="16"/>
      <c r="D89" s="16"/>
      <c r="E89" s="16"/>
      <c r="F89" s="16"/>
      <c r="G89" s="16"/>
      <c r="H89" s="16"/>
      <c r="I89" s="16"/>
    </row>
    <row r="90" spans="1:9" x14ac:dyDescent="0.3">
      <c r="A90" s="16"/>
      <c r="B90" s="16"/>
      <c r="C90" s="16"/>
      <c r="D90" s="16"/>
      <c r="E90" s="16"/>
      <c r="F90" s="16"/>
      <c r="G90" s="16"/>
      <c r="H90" s="16"/>
      <c r="I90" s="16"/>
    </row>
    <row r="91" spans="1:9" x14ac:dyDescent="0.3">
      <c r="A91" s="16"/>
      <c r="B91" s="16"/>
      <c r="C91" s="16"/>
      <c r="D91" s="16"/>
      <c r="E91" s="16"/>
      <c r="F91" s="16"/>
      <c r="G91" s="16"/>
      <c r="H91" s="16"/>
      <c r="I91" s="16"/>
    </row>
    <row r="92" spans="1:9" x14ac:dyDescent="0.3">
      <c r="A92" s="16"/>
      <c r="B92" s="16"/>
      <c r="C92" s="16"/>
      <c r="D92" s="16"/>
      <c r="E92" s="16"/>
      <c r="F92" s="16"/>
      <c r="G92" s="16"/>
      <c r="H92" s="16"/>
      <c r="I92" s="16"/>
    </row>
    <row r="93" spans="1:9" x14ac:dyDescent="0.3">
      <c r="A93" s="16"/>
      <c r="B93" s="16"/>
      <c r="C93" s="16"/>
      <c r="D93" s="16"/>
      <c r="E93" s="16"/>
      <c r="F93" s="16"/>
      <c r="G93" s="16"/>
      <c r="H93" s="16"/>
      <c r="I93" s="16"/>
    </row>
    <row r="94" spans="1:9" x14ac:dyDescent="0.3">
      <c r="A94" s="16"/>
      <c r="B94" s="16"/>
      <c r="C94" s="16"/>
      <c r="D94" s="16"/>
      <c r="E94" s="16"/>
      <c r="F94" s="16"/>
      <c r="G94" s="16"/>
      <c r="H94" s="16"/>
      <c r="I94" s="16"/>
    </row>
    <row r="95" spans="1:9" x14ac:dyDescent="0.3">
      <c r="A95" s="16"/>
      <c r="B95" s="16"/>
      <c r="C95" s="16"/>
      <c r="D95" s="16"/>
      <c r="E95" s="16"/>
      <c r="F95" s="16"/>
      <c r="G95" s="16"/>
      <c r="H95" s="16"/>
      <c r="I95" s="16"/>
    </row>
    <row r="96" spans="1:9" x14ac:dyDescent="0.3">
      <c r="A96" s="16"/>
      <c r="B96" s="16"/>
      <c r="C96" s="16"/>
      <c r="D96" s="16"/>
      <c r="E96" s="16"/>
      <c r="F96" s="16"/>
      <c r="G96" s="16"/>
      <c r="H96" s="16"/>
      <c r="I96" s="16"/>
    </row>
    <row r="97" spans="1:9" x14ac:dyDescent="0.3">
      <c r="A97" s="16"/>
      <c r="B97" s="16"/>
      <c r="C97" s="16"/>
      <c r="D97" s="16"/>
      <c r="E97" s="16"/>
      <c r="F97" s="16"/>
      <c r="G97" s="16"/>
      <c r="H97" s="16"/>
      <c r="I97" s="16"/>
    </row>
    <row r="98" spans="1:9" x14ac:dyDescent="0.3">
      <c r="A98" s="16"/>
      <c r="B98" s="16"/>
      <c r="C98" s="16"/>
      <c r="D98" s="16"/>
      <c r="E98" s="16"/>
      <c r="F98" s="16"/>
      <c r="G98" s="16"/>
      <c r="H98" s="16"/>
      <c r="I98" s="16"/>
    </row>
    <row r="99" spans="1:9" x14ac:dyDescent="0.3">
      <c r="A99" s="16"/>
      <c r="B99" s="16"/>
      <c r="C99" s="16"/>
      <c r="D99" s="16"/>
      <c r="E99" s="16"/>
      <c r="F99" s="16"/>
      <c r="G99" s="16"/>
      <c r="H99" s="16"/>
      <c r="I99" s="16"/>
    </row>
    <row r="100" spans="1:9" x14ac:dyDescent="0.3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x14ac:dyDescent="0.3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x14ac:dyDescent="0.3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x14ac:dyDescent="0.3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x14ac:dyDescent="0.3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x14ac:dyDescent="0.3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x14ac:dyDescent="0.3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x14ac:dyDescent="0.3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x14ac:dyDescent="0.3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x14ac:dyDescent="0.3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x14ac:dyDescent="0.3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x14ac:dyDescent="0.3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x14ac:dyDescent="0.3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x14ac:dyDescent="0.3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x14ac:dyDescent="0.3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x14ac:dyDescent="0.3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x14ac:dyDescent="0.3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x14ac:dyDescent="0.3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x14ac:dyDescent="0.3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x14ac:dyDescent="0.3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x14ac:dyDescent="0.3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x14ac:dyDescent="0.3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x14ac:dyDescent="0.3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x14ac:dyDescent="0.3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x14ac:dyDescent="0.3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x14ac:dyDescent="0.3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x14ac:dyDescent="0.3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x14ac:dyDescent="0.3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x14ac:dyDescent="0.3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x14ac:dyDescent="0.3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x14ac:dyDescent="0.3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x14ac:dyDescent="0.3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x14ac:dyDescent="0.3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x14ac:dyDescent="0.3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x14ac:dyDescent="0.3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x14ac:dyDescent="0.3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x14ac:dyDescent="0.3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x14ac:dyDescent="0.3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x14ac:dyDescent="0.3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x14ac:dyDescent="0.3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x14ac:dyDescent="0.3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x14ac:dyDescent="0.3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x14ac:dyDescent="0.3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x14ac:dyDescent="0.3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x14ac:dyDescent="0.3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x14ac:dyDescent="0.3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x14ac:dyDescent="0.3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x14ac:dyDescent="0.3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x14ac:dyDescent="0.3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x14ac:dyDescent="0.3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x14ac:dyDescent="0.3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x14ac:dyDescent="0.3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x14ac:dyDescent="0.3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x14ac:dyDescent="0.3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x14ac:dyDescent="0.3">
      <c r="A154" s="16"/>
      <c r="B154" s="16"/>
      <c r="C154" s="16"/>
      <c r="D154" s="16"/>
      <c r="E154" s="16"/>
      <c r="F154" s="16"/>
      <c r="G154" s="16"/>
      <c r="H154" s="16"/>
      <c r="I154" s="16"/>
    </row>
    <row r="155" spans="1:9" x14ac:dyDescent="0.3">
      <c r="A155" s="16"/>
      <c r="B155" s="16"/>
      <c r="C155" s="16"/>
      <c r="D155" s="16"/>
      <c r="E155" s="16"/>
      <c r="F155" s="16"/>
      <c r="G155" s="16"/>
      <c r="H155" s="16"/>
      <c r="I155" s="16"/>
    </row>
    <row r="156" spans="1:9" x14ac:dyDescent="0.3">
      <c r="A156" s="16"/>
      <c r="B156" s="16"/>
      <c r="C156" s="16"/>
      <c r="D156" s="16"/>
      <c r="E156" s="16"/>
      <c r="F156" s="16"/>
      <c r="G156" s="16"/>
      <c r="H156" s="16"/>
      <c r="I156" s="16"/>
    </row>
    <row r="157" spans="1:9" x14ac:dyDescent="0.3">
      <c r="A157" s="16"/>
      <c r="B157" s="16"/>
      <c r="C157" s="16"/>
      <c r="D157" s="16"/>
      <c r="E157" s="16"/>
      <c r="F157" s="16"/>
      <c r="G157" s="16"/>
      <c r="H157" s="16"/>
      <c r="I157" s="16"/>
    </row>
    <row r="158" spans="1:9" x14ac:dyDescent="0.3">
      <c r="A158" s="16"/>
      <c r="B158" s="16"/>
      <c r="C158" s="16"/>
      <c r="D158" s="16"/>
      <c r="E158" s="16"/>
      <c r="F158" s="16"/>
      <c r="G158" s="16"/>
      <c r="H158" s="16"/>
      <c r="I158" s="16"/>
    </row>
    <row r="159" spans="1:9" x14ac:dyDescent="0.3">
      <c r="A159" s="16"/>
      <c r="B159" s="16"/>
      <c r="C159" s="16"/>
      <c r="D159" s="16"/>
      <c r="E159" s="16"/>
      <c r="F159" s="16"/>
      <c r="G159" s="16"/>
      <c r="H159" s="16"/>
      <c r="I159" s="16"/>
    </row>
    <row r="160" spans="1:9" x14ac:dyDescent="0.3">
      <c r="A160" s="16"/>
      <c r="B160" s="16"/>
      <c r="C160" s="16"/>
      <c r="D160" s="16"/>
      <c r="E160" s="16"/>
      <c r="F160" s="16"/>
      <c r="G160" s="16"/>
      <c r="H160" s="16"/>
      <c r="I160" s="16"/>
    </row>
    <row r="161" spans="1:9" x14ac:dyDescent="0.3">
      <c r="A161" s="16"/>
      <c r="B161" s="16"/>
      <c r="C161" s="16"/>
      <c r="D161" s="16"/>
      <c r="E161" s="16"/>
      <c r="F161" s="16"/>
      <c r="G161" s="16"/>
      <c r="H161" s="16"/>
      <c r="I161" s="16"/>
    </row>
    <row r="162" spans="1:9" x14ac:dyDescent="0.3">
      <c r="A162" s="16"/>
      <c r="B162" s="16"/>
      <c r="C162" s="16"/>
      <c r="D162" s="16"/>
      <c r="E162" s="16"/>
      <c r="F162" s="16"/>
      <c r="G162" s="16"/>
      <c r="H162" s="16"/>
      <c r="I162" s="16"/>
    </row>
    <row r="163" spans="1:9" x14ac:dyDescent="0.3">
      <c r="A163" s="16"/>
      <c r="B163" s="16"/>
      <c r="C163" s="16"/>
      <c r="D163" s="16"/>
      <c r="E163" s="16"/>
      <c r="F163" s="16"/>
      <c r="G163" s="16"/>
      <c r="H163" s="16"/>
      <c r="I163" s="16"/>
    </row>
    <row r="164" spans="1:9" x14ac:dyDescent="0.3">
      <c r="A164" s="16"/>
      <c r="B164" s="16"/>
      <c r="C164" s="16"/>
      <c r="D164" s="16"/>
      <c r="E164" s="16"/>
      <c r="F164" s="16"/>
      <c r="G164" s="16"/>
      <c r="H164" s="16"/>
      <c r="I164" s="16"/>
    </row>
    <row r="165" spans="1:9" x14ac:dyDescent="0.3">
      <c r="A165" s="16"/>
      <c r="B165" s="16"/>
      <c r="C165" s="16"/>
      <c r="D165" s="16"/>
      <c r="E165" s="16"/>
      <c r="F165" s="16"/>
      <c r="G165" s="16"/>
      <c r="H165" s="16"/>
      <c r="I165" s="16"/>
    </row>
    <row r="166" spans="1:9" x14ac:dyDescent="0.3">
      <c r="A166" s="16"/>
      <c r="B166" s="16"/>
      <c r="C166" s="16"/>
      <c r="D166" s="16"/>
      <c r="E166" s="16"/>
      <c r="F166" s="16"/>
      <c r="G166" s="16"/>
      <c r="H166" s="16"/>
      <c r="I166" s="16"/>
    </row>
    <row r="167" spans="1:9" x14ac:dyDescent="0.3">
      <c r="A167" s="16"/>
      <c r="B167" s="16"/>
      <c r="C167" s="16"/>
      <c r="D167" s="16"/>
      <c r="E167" s="16"/>
      <c r="F167" s="16"/>
      <c r="G167" s="16"/>
      <c r="H167" s="16"/>
      <c r="I167" s="16"/>
    </row>
    <row r="168" spans="1:9" x14ac:dyDescent="0.3">
      <c r="A168" s="16"/>
      <c r="B168" s="16"/>
      <c r="C168" s="16"/>
      <c r="D168" s="16"/>
      <c r="E168" s="16"/>
      <c r="F168" s="16"/>
      <c r="G168" s="16"/>
      <c r="H168" s="16"/>
      <c r="I168" s="16"/>
    </row>
    <row r="169" spans="1:9" x14ac:dyDescent="0.3">
      <c r="A169" s="16"/>
      <c r="B169" s="16"/>
      <c r="C169" s="16"/>
      <c r="D169" s="16"/>
      <c r="E169" s="16"/>
      <c r="F169" s="16"/>
      <c r="G169" s="16"/>
      <c r="H169" s="16"/>
      <c r="I169" s="16"/>
    </row>
    <row r="170" spans="1:9" x14ac:dyDescent="0.3">
      <c r="A170" s="16"/>
      <c r="B170" s="16"/>
      <c r="C170" s="16"/>
      <c r="D170" s="16"/>
      <c r="E170" s="16"/>
      <c r="F170" s="16"/>
      <c r="G170" s="16"/>
      <c r="H170" s="16"/>
      <c r="I170" s="16"/>
    </row>
    <row r="171" spans="1:9" x14ac:dyDescent="0.3">
      <c r="A171" s="16"/>
      <c r="B171" s="16"/>
      <c r="C171" s="16"/>
      <c r="D171" s="16"/>
      <c r="E171" s="16"/>
      <c r="F171" s="16"/>
      <c r="G171" s="16"/>
      <c r="H171" s="16"/>
      <c r="I171" s="16"/>
    </row>
    <row r="172" spans="1:9" x14ac:dyDescent="0.3">
      <c r="A172" s="16"/>
      <c r="B172" s="16"/>
      <c r="C172" s="16"/>
      <c r="D172" s="16"/>
      <c r="E172" s="16"/>
      <c r="F172" s="16"/>
      <c r="G172" s="16"/>
      <c r="H172" s="16"/>
      <c r="I172" s="16"/>
    </row>
    <row r="173" spans="1:9" x14ac:dyDescent="0.3">
      <c r="A173" s="16"/>
      <c r="B173" s="16"/>
      <c r="C173" s="16"/>
      <c r="D173" s="16"/>
      <c r="E173" s="16"/>
      <c r="F173" s="16"/>
      <c r="G173" s="16"/>
      <c r="H173" s="16"/>
      <c r="I173" s="16"/>
    </row>
    <row r="174" spans="1:9" x14ac:dyDescent="0.3">
      <c r="A174" s="16"/>
      <c r="B174" s="16"/>
      <c r="C174" s="16"/>
      <c r="D174" s="16"/>
      <c r="E174" s="16"/>
      <c r="F174" s="16"/>
      <c r="G174" s="16"/>
      <c r="H174" s="16"/>
      <c r="I174" s="16"/>
    </row>
    <row r="175" spans="1:9" x14ac:dyDescent="0.3">
      <c r="A175" s="16"/>
      <c r="B175" s="16"/>
      <c r="C175" s="16"/>
      <c r="D175" s="16"/>
      <c r="E175" s="16"/>
      <c r="F175" s="16"/>
      <c r="G175" s="16"/>
      <c r="H175" s="16"/>
      <c r="I175" s="16"/>
    </row>
    <row r="176" spans="1:9" x14ac:dyDescent="0.3">
      <c r="A176" s="16"/>
      <c r="B176" s="16"/>
      <c r="C176" s="16"/>
      <c r="D176" s="16"/>
      <c r="E176" s="16"/>
      <c r="F176" s="16"/>
      <c r="G176" s="16"/>
      <c r="H176" s="16"/>
      <c r="I176" s="16"/>
    </row>
    <row r="177" spans="1:9" x14ac:dyDescent="0.3">
      <c r="A177" s="16"/>
      <c r="B177" s="16"/>
      <c r="C177" s="16"/>
      <c r="D177" s="16"/>
      <c r="E177" s="16"/>
      <c r="F177" s="16"/>
      <c r="G177" s="16"/>
      <c r="H177" s="16"/>
      <c r="I177" s="16"/>
    </row>
    <row r="178" spans="1:9" x14ac:dyDescent="0.3">
      <c r="A178" s="16"/>
      <c r="B178" s="16"/>
      <c r="C178" s="16"/>
      <c r="D178" s="16"/>
      <c r="E178" s="16"/>
      <c r="F178" s="16"/>
      <c r="G178" s="16"/>
      <c r="H178" s="16"/>
      <c r="I178" s="16"/>
    </row>
    <row r="179" spans="1:9" x14ac:dyDescent="0.3">
      <c r="A179" s="16"/>
      <c r="B179" s="16"/>
      <c r="C179" s="16"/>
      <c r="D179" s="16"/>
      <c r="E179" s="16"/>
      <c r="F179" s="16"/>
      <c r="G179" s="16"/>
      <c r="H179" s="16"/>
      <c r="I179" s="16"/>
    </row>
    <row r="180" spans="1:9" x14ac:dyDescent="0.3">
      <c r="A180" s="16"/>
      <c r="B180" s="16"/>
      <c r="C180" s="16"/>
      <c r="D180" s="16"/>
      <c r="E180" s="16"/>
      <c r="F180" s="16"/>
      <c r="G180" s="16"/>
      <c r="H180" s="16"/>
      <c r="I180" s="16"/>
    </row>
    <row r="181" spans="1:9" x14ac:dyDescent="0.3">
      <c r="A181" s="16"/>
      <c r="B181" s="16"/>
      <c r="C181" s="16"/>
      <c r="D181" s="16"/>
      <c r="E181" s="16"/>
      <c r="F181" s="16"/>
      <c r="G181" s="16"/>
      <c r="H181" s="16"/>
      <c r="I181" s="16"/>
    </row>
    <row r="182" spans="1:9" x14ac:dyDescent="0.3">
      <c r="A182" s="16"/>
      <c r="B182" s="16"/>
      <c r="C182" s="16"/>
      <c r="D182" s="16"/>
      <c r="E182" s="16"/>
      <c r="F182" s="16"/>
      <c r="G182" s="16"/>
      <c r="H182" s="16"/>
      <c r="I182" s="16"/>
    </row>
    <row r="183" spans="1:9" x14ac:dyDescent="0.3">
      <c r="A183" s="16"/>
      <c r="B183" s="16"/>
      <c r="C183" s="16"/>
      <c r="D183" s="16"/>
      <c r="E183" s="16"/>
      <c r="F183" s="16"/>
      <c r="G183" s="16"/>
      <c r="H183" s="16"/>
      <c r="I183" s="16"/>
    </row>
    <row r="184" spans="1:9" x14ac:dyDescent="0.3">
      <c r="A184" s="16"/>
      <c r="B184" s="16"/>
      <c r="C184" s="16"/>
      <c r="D184" s="16"/>
      <c r="E184" s="16"/>
      <c r="F184" s="16"/>
      <c r="G184" s="16"/>
      <c r="H184" s="16"/>
      <c r="I184" s="16"/>
    </row>
    <row r="185" spans="1:9" x14ac:dyDescent="0.3">
      <c r="A185" s="16"/>
      <c r="B185" s="16"/>
      <c r="C185" s="16"/>
      <c r="D185" s="16"/>
      <c r="E185" s="16"/>
      <c r="F185" s="16"/>
      <c r="G185" s="16"/>
      <c r="H185" s="16"/>
      <c r="I185" s="16"/>
    </row>
    <row r="186" spans="1:9" x14ac:dyDescent="0.3">
      <c r="A186" s="16"/>
      <c r="B186" s="16"/>
      <c r="C186" s="16"/>
      <c r="D186" s="16"/>
      <c r="E186" s="16"/>
      <c r="F186" s="16"/>
      <c r="G186" s="16"/>
      <c r="H186" s="16"/>
      <c r="I186" s="16"/>
    </row>
    <row r="187" spans="1:9" x14ac:dyDescent="0.3">
      <c r="A187" s="16"/>
      <c r="B187" s="16"/>
      <c r="C187" s="16"/>
      <c r="D187" s="16"/>
      <c r="E187" s="16"/>
      <c r="F187" s="16"/>
      <c r="G187" s="16"/>
      <c r="H187" s="16"/>
      <c r="I187" s="16"/>
    </row>
    <row r="188" spans="1:9" x14ac:dyDescent="0.3">
      <c r="A188" s="16"/>
      <c r="B188" s="16"/>
      <c r="C188" s="16"/>
      <c r="D188" s="16"/>
      <c r="E188" s="16"/>
      <c r="F188" s="16"/>
      <c r="G188" s="16"/>
      <c r="H188" s="16"/>
      <c r="I188" s="16"/>
    </row>
    <row r="189" spans="1:9" x14ac:dyDescent="0.3">
      <c r="A189" s="16"/>
      <c r="B189" s="16"/>
      <c r="C189" s="16"/>
      <c r="D189" s="16"/>
      <c r="E189" s="16"/>
      <c r="F189" s="16"/>
      <c r="G189" s="16"/>
      <c r="H189" s="16"/>
      <c r="I189" s="16"/>
    </row>
    <row r="190" spans="1:9" x14ac:dyDescent="0.3">
      <c r="A190" s="16"/>
      <c r="B190" s="16"/>
      <c r="C190" s="16"/>
      <c r="D190" s="16"/>
      <c r="E190" s="16"/>
      <c r="F190" s="16"/>
      <c r="G190" s="16"/>
      <c r="H190" s="16"/>
      <c r="I190" s="16"/>
    </row>
    <row r="191" spans="1:9" x14ac:dyDescent="0.3">
      <c r="A191" s="16"/>
      <c r="B191" s="16"/>
      <c r="C191" s="16"/>
      <c r="D191" s="16"/>
      <c r="E191" s="16"/>
      <c r="F191" s="16"/>
      <c r="G191" s="16"/>
      <c r="H191" s="16"/>
      <c r="I191" s="16"/>
    </row>
    <row r="192" spans="1:9" x14ac:dyDescent="0.3">
      <c r="A192" s="16"/>
      <c r="B192" s="16"/>
      <c r="C192" s="16"/>
      <c r="D192" s="16"/>
      <c r="E192" s="16"/>
      <c r="F192" s="16"/>
      <c r="G192" s="16"/>
      <c r="H192" s="16"/>
      <c r="I192" s="16"/>
    </row>
    <row r="193" spans="1:9" x14ac:dyDescent="0.3">
      <c r="A193" s="16"/>
      <c r="B193" s="16"/>
      <c r="C193" s="16"/>
      <c r="D193" s="16"/>
      <c r="E193" s="16"/>
      <c r="F193" s="16"/>
      <c r="G193" s="16"/>
      <c r="H193" s="16"/>
      <c r="I193" s="16"/>
    </row>
    <row r="194" spans="1:9" x14ac:dyDescent="0.3">
      <c r="A194" s="16"/>
      <c r="B194" s="16"/>
      <c r="C194" s="16"/>
      <c r="D194" s="16"/>
      <c r="E194" s="16"/>
      <c r="F194" s="16"/>
      <c r="G194" s="16"/>
      <c r="H194" s="16"/>
      <c r="I194" s="16"/>
    </row>
    <row r="195" spans="1:9" x14ac:dyDescent="0.3">
      <c r="A195" s="16"/>
      <c r="B195" s="16"/>
      <c r="C195" s="16"/>
      <c r="D195" s="16"/>
      <c r="E195" s="16"/>
      <c r="F195" s="16"/>
      <c r="G195" s="16"/>
      <c r="H195" s="16"/>
      <c r="I195" s="16"/>
    </row>
    <row r="196" spans="1:9" x14ac:dyDescent="0.3">
      <c r="A196" s="16"/>
      <c r="B196" s="16"/>
      <c r="C196" s="16"/>
      <c r="D196" s="16"/>
      <c r="E196" s="16"/>
      <c r="F196" s="16"/>
      <c r="G196" s="16"/>
      <c r="H196" s="16"/>
      <c r="I196" s="16"/>
    </row>
    <row r="197" spans="1:9" x14ac:dyDescent="0.3">
      <c r="A197" s="16"/>
      <c r="B197" s="16"/>
      <c r="C197" s="16"/>
      <c r="D197" s="16"/>
      <c r="E197" s="16"/>
      <c r="F197" s="16"/>
      <c r="G197" s="16"/>
      <c r="H197" s="16"/>
      <c r="I197" s="16"/>
    </row>
    <row r="198" spans="1:9" x14ac:dyDescent="0.3">
      <c r="A198" s="16"/>
      <c r="B198" s="16"/>
      <c r="C198" s="16"/>
      <c r="D198" s="16"/>
      <c r="E198" s="16"/>
      <c r="F198" s="16"/>
      <c r="G198" s="16"/>
      <c r="H198" s="16"/>
      <c r="I198" s="16"/>
    </row>
    <row r="199" spans="1:9" x14ac:dyDescent="0.3">
      <c r="A199" s="16"/>
      <c r="B199" s="16"/>
      <c r="C199" s="16"/>
      <c r="D199" s="16"/>
      <c r="E199" s="16"/>
      <c r="F199" s="16"/>
      <c r="G199" s="16"/>
      <c r="H199" s="16"/>
      <c r="I199" s="16"/>
    </row>
    <row r="200" spans="1:9" x14ac:dyDescent="0.3">
      <c r="A200" s="16"/>
      <c r="B200" s="16"/>
      <c r="C200" s="16"/>
      <c r="D200" s="16"/>
      <c r="E200" s="16"/>
      <c r="F200" s="16"/>
      <c r="G200" s="16"/>
      <c r="H200" s="16"/>
      <c r="I200" s="16"/>
    </row>
    <row r="201" spans="1:9" x14ac:dyDescent="0.3">
      <c r="A201" s="16"/>
      <c r="B201" s="16"/>
      <c r="C201" s="16"/>
      <c r="D201" s="16"/>
      <c r="E201" s="16"/>
      <c r="F201" s="16"/>
      <c r="G201" s="16"/>
      <c r="H201" s="16"/>
      <c r="I201" s="16"/>
    </row>
    <row r="202" spans="1:9" x14ac:dyDescent="0.3">
      <c r="A202" s="16"/>
      <c r="B202" s="16"/>
      <c r="C202" s="16"/>
      <c r="D202" s="16"/>
      <c r="E202" s="16"/>
      <c r="F202" s="16"/>
      <c r="G202" s="16"/>
      <c r="H202" s="16"/>
      <c r="I202" s="16"/>
    </row>
    <row r="203" spans="1:9" x14ac:dyDescent="0.3">
      <c r="A203" s="16"/>
      <c r="B203" s="16"/>
      <c r="C203" s="16"/>
      <c r="D203" s="16"/>
      <c r="E203" s="16"/>
      <c r="F203" s="16"/>
      <c r="G203" s="16"/>
      <c r="H203" s="16"/>
      <c r="I203" s="16"/>
    </row>
    <row r="204" spans="1:9" x14ac:dyDescent="0.3">
      <c r="A204" s="16"/>
      <c r="B204" s="16"/>
      <c r="C204" s="16"/>
      <c r="D204" s="16"/>
      <c r="E204" s="16"/>
      <c r="F204" s="16"/>
      <c r="G204" s="16"/>
      <c r="H204" s="16"/>
      <c r="I204" s="16"/>
    </row>
    <row r="205" spans="1:9" x14ac:dyDescent="0.3">
      <c r="A205" s="16"/>
      <c r="B205" s="16"/>
      <c r="C205" s="16"/>
      <c r="D205" s="16"/>
      <c r="E205" s="16"/>
      <c r="F205" s="16"/>
      <c r="G205" s="16"/>
      <c r="H205" s="16"/>
      <c r="I205" s="16"/>
    </row>
    <row r="206" spans="1:9" x14ac:dyDescent="0.3">
      <c r="A206" s="16"/>
      <c r="B206" s="16"/>
      <c r="C206" s="16"/>
      <c r="D206" s="16"/>
      <c r="E206" s="16"/>
      <c r="F206" s="16"/>
      <c r="G206" s="16"/>
      <c r="H206" s="16"/>
      <c r="I206" s="16"/>
    </row>
    <row r="207" spans="1:9" x14ac:dyDescent="0.3">
      <c r="A207" s="16"/>
      <c r="B207" s="16"/>
      <c r="C207" s="16"/>
      <c r="D207" s="16"/>
      <c r="E207" s="16"/>
      <c r="F207" s="16"/>
      <c r="G207" s="16"/>
      <c r="H207" s="16"/>
      <c r="I207" s="16"/>
    </row>
    <row r="208" spans="1:9" x14ac:dyDescent="0.3">
      <c r="A208" s="16"/>
      <c r="B208" s="16"/>
      <c r="C208" s="16"/>
      <c r="D208" s="16"/>
      <c r="E208" s="16"/>
      <c r="F208" s="16"/>
      <c r="G208" s="16"/>
      <c r="H208" s="16"/>
      <c r="I208" s="16"/>
    </row>
  </sheetData>
  <dataValidations count="2">
    <dataValidation type="list" allowBlank="1" sqref="C2:C210" xr:uid="{00000000-0002-0000-0200-000000000000}">
      <formula1>"информация,софтуер,хардуер,услуга,мрежа,хора,помещение"</formula1>
      <formula2>0</formula2>
    </dataValidation>
    <dataValidation type="list" allowBlank="1" sqref="F2:F210" xr:uid="{00000000-0002-0000-0200-000001000000}">
      <formula1>"публична,вътрешна,поверителна,строго поверителна"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0"/>
  <sheetViews>
    <sheetView topLeftCell="E1" zoomScaleNormal="100" workbookViewId="0">
      <pane ySplit="1" topLeftCell="A2" activePane="bottomLeft" state="frozen"/>
      <selection pane="bottomLeft" activeCell="N3" sqref="N3"/>
    </sheetView>
  </sheetViews>
  <sheetFormatPr defaultColWidth="8.6640625" defaultRowHeight="14.4" x14ac:dyDescent="0.3"/>
  <cols>
    <col min="1" max="1" width="8" customWidth="1"/>
    <col min="2" max="2" width="24" customWidth="1"/>
    <col min="3" max="3" width="20" customWidth="1"/>
    <col min="4" max="4" width="30" customWidth="1"/>
    <col min="5" max="5" width="34" customWidth="1"/>
    <col min="6" max="6" width="26" customWidth="1"/>
    <col min="7" max="8" width="5" customWidth="1"/>
    <col min="9" max="9" width="7" customWidth="1"/>
    <col min="10" max="11" width="9" customWidth="1"/>
    <col min="12" max="12" width="14" customWidth="1"/>
    <col min="13" max="13" width="20" customWidth="1"/>
    <col min="14" max="14" width="12" customWidth="1"/>
    <col min="15" max="15" width="10" customWidth="1"/>
    <col min="16" max="17" width="8" customWidth="1"/>
    <col min="18" max="18" width="11" customWidth="1"/>
    <col min="19" max="19" width="30" customWidth="1"/>
  </cols>
  <sheetData>
    <row r="1" spans="1:19" ht="30" customHeight="1" x14ac:dyDescent="0.3">
      <c r="A1" s="15" t="s">
        <v>194</v>
      </c>
      <c r="B1" s="15" t="s">
        <v>86</v>
      </c>
      <c r="C1" s="15" t="s">
        <v>195</v>
      </c>
      <c r="D1" s="15" t="s">
        <v>196</v>
      </c>
      <c r="E1" s="15" t="s">
        <v>197</v>
      </c>
      <c r="F1" s="15" t="s">
        <v>198</v>
      </c>
      <c r="G1" s="15" t="s">
        <v>199</v>
      </c>
      <c r="H1" s="15" t="s">
        <v>200</v>
      </c>
      <c r="I1" s="15" t="s">
        <v>201</v>
      </c>
      <c r="J1" s="15" t="s">
        <v>31</v>
      </c>
      <c r="K1" s="15" t="s">
        <v>202</v>
      </c>
      <c r="L1" s="15" t="s">
        <v>203</v>
      </c>
      <c r="M1" s="15" t="s">
        <v>204</v>
      </c>
      <c r="N1" s="15" t="s">
        <v>205</v>
      </c>
      <c r="O1" s="15" t="s">
        <v>206</v>
      </c>
      <c r="P1" s="15" t="s">
        <v>207</v>
      </c>
      <c r="Q1" s="15" t="s">
        <v>208</v>
      </c>
      <c r="R1" s="15" t="s">
        <v>209</v>
      </c>
      <c r="S1" s="15" t="s">
        <v>210</v>
      </c>
    </row>
    <row r="2" spans="1:19" ht="63.75" customHeight="1" x14ac:dyDescent="0.3">
      <c r="A2" s="16" t="s">
        <v>211</v>
      </c>
      <c r="B2" s="16" t="s">
        <v>95</v>
      </c>
      <c r="C2" s="16" t="s">
        <v>212</v>
      </c>
      <c r="D2" s="16" t="s">
        <v>213</v>
      </c>
      <c r="E2" s="16" t="s">
        <v>214</v>
      </c>
      <c r="F2" s="16" t="s">
        <v>215</v>
      </c>
      <c r="G2" s="16">
        <v>4</v>
      </c>
      <c r="H2" s="16">
        <v>5</v>
      </c>
      <c r="I2" s="17">
        <f t="shared" ref="I2:I65" si="0">IF(OR(G2="",H2=""),"",G2*H2)</f>
        <v>20</v>
      </c>
      <c r="J2" s="17" t="str">
        <f t="shared" ref="J2:J65" si="1">IF(I2="","",IF(I2&lt;=4,"нисък",IF(I2&lt;=9,"умерен",IF(I2&lt;=15,"висок","критичен"))))</f>
        <v>критичен</v>
      </c>
      <c r="K2" s="17" t="str">
        <f>IF(I2="","",IF(I2&lt;=Скали!$B$1,"да","не"))</f>
        <v>не</v>
      </c>
      <c r="L2" s="16" t="s">
        <v>216</v>
      </c>
      <c r="M2" s="16" t="s">
        <v>122</v>
      </c>
      <c r="N2" s="16" t="s">
        <v>217</v>
      </c>
      <c r="O2" s="16"/>
      <c r="P2" s="16">
        <v>2</v>
      </c>
      <c r="Q2" s="16">
        <v>4</v>
      </c>
      <c r="R2" s="17">
        <f t="shared" ref="R2:R65" si="2">IF(OR(P2="",Q2=""),"",P2*Q2)</f>
        <v>8</v>
      </c>
      <c r="S2" s="16" t="s">
        <v>218</v>
      </c>
    </row>
    <row r="3" spans="1:19" ht="52.8" x14ac:dyDescent="0.3">
      <c r="A3" s="16" t="s">
        <v>219</v>
      </c>
      <c r="B3" s="16" t="s">
        <v>220</v>
      </c>
      <c r="C3" s="16" t="s">
        <v>221</v>
      </c>
      <c r="D3" s="16" t="s">
        <v>222</v>
      </c>
      <c r="E3" s="16" t="s">
        <v>223</v>
      </c>
      <c r="F3" s="16" t="s">
        <v>224</v>
      </c>
      <c r="G3" s="16">
        <v>5</v>
      </c>
      <c r="H3" s="16">
        <v>4</v>
      </c>
      <c r="I3" s="17">
        <f t="shared" si="0"/>
        <v>20</v>
      </c>
      <c r="J3" s="17" t="str">
        <f t="shared" si="1"/>
        <v>критичен</v>
      </c>
      <c r="K3" s="17" t="str">
        <f>IF(I3="","",IF(I3&lt;=Скали!$B$1,"да","не"))</f>
        <v>не</v>
      </c>
      <c r="L3" s="16" t="s">
        <v>216</v>
      </c>
      <c r="M3" s="16" t="s">
        <v>122</v>
      </c>
      <c r="N3" s="16" t="s">
        <v>217</v>
      </c>
      <c r="O3" s="16"/>
      <c r="P3" s="16">
        <v>1</v>
      </c>
      <c r="Q3" s="16">
        <v>4</v>
      </c>
      <c r="R3" s="17">
        <f t="shared" si="2"/>
        <v>4</v>
      </c>
      <c r="S3" s="16"/>
    </row>
    <row r="4" spans="1:19" ht="52.8" x14ac:dyDescent="0.3">
      <c r="A4" s="16" t="s">
        <v>225</v>
      </c>
      <c r="B4" s="16" t="s">
        <v>226</v>
      </c>
      <c r="C4" s="16" t="s">
        <v>227</v>
      </c>
      <c r="D4" s="16" t="s">
        <v>228</v>
      </c>
      <c r="E4" s="16" t="s">
        <v>229</v>
      </c>
      <c r="F4" s="16" t="s">
        <v>230</v>
      </c>
      <c r="G4" s="16">
        <v>4</v>
      </c>
      <c r="H4" s="16">
        <v>4</v>
      </c>
      <c r="I4" s="17">
        <f t="shared" si="0"/>
        <v>16</v>
      </c>
      <c r="J4" s="17" t="str">
        <f t="shared" si="1"/>
        <v>критичен</v>
      </c>
      <c r="K4" s="17" t="str">
        <f>IF(I4="","",IF(I4&lt;=Скали!$B$1,"да","не"))</f>
        <v>не</v>
      </c>
      <c r="L4" s="16" t="s">
        <v>216</v>
      </c>
      <c r="M4" s="16" t="s">
        <v>98</v>
      </c>
      <c r="N4" s="16" t="s">
        <v>217</v>
      </c>
      <c r="O4" s="16"/>
      <c r="P4" s="16">
        <v>2</v>
      </c>
      <c r="Q4" s="16">
        <v>4</v>
      </c>
      <c r="R4" s="17">
        <f t="shared" si="2"/>
        <v>8</v>
      </c>
      <c r="S4" s="16"/>
    </row>
    <row r="5" spans="1:19" ht="39.6" x14ac:dyDescent="0.3">
      <c r="A5" s="16" t="s">
        <v>231</v>
      </c>
      <c r="B5" s="16" t="s">
        <v>104</v>
      </c>
      <c r="C5" s="16" t="s">
        <v>232</v>
      </c>
      <c r="D5" s="16" t="s">
        <v>233</v>
      </c>
      <c r="E5" s="16" t="s">
        <v>234</v>
      </c>
      <c r="F5" s="16" t="s">
        <v>235</v>
      </c>
      <c r="G5" s="16">
        <v>3</v>
      </c>
      <c r="H5" s="16">
        <v>5</v>
      </c>
      <c r="I5" s="17">
        <f t="shared" si="0"/>
        <v>15</v>
      </c>
      <c r="J5" s="17" t="str">
        <f t="shared" si="1"/>
        <v>висок</v>
      </c>
      <c r="K5" s="17" t="str">
        <f>IF(I5="","",IF(I5&lt;=Скали!$B$1,"да","не"))</f>
        <v>не</v>
      </c>
      <c r="L5" s="16" t="s">
        <v>216</v>
      </c>
      <c r="M5" s="16" t="s">
        <v>122</v>
      </c>
      <c r="N5" s="16" t="s">
        <v>236</v>
      </c>
      <c r="O5" s="16"/>
      <c r="P5" s="16">
        <v>3</v>
      </c>
      <c r="Q5" s="16">
        <v>2</v>
      </c>
      <c r="R5" s="17">
        <f t="shared" si="2"/>
        <v>6</v>
      </c>
      <c r="S5" s="16"/>
    </row>
    <row r="6" spans="1:19" ht="39.6" x14ac:dyDescent="0.3">
      <c r="A6" s="16" t="s">
        <v>237</v>
      </c>
      <c r="B6" s="16" t="s">
        <v>132</v>
      </c>
      <c r="C6" s="16" t="s">
        <v>238</v>
      </c>
      <c r="D6" s="16" t="s">
        <v>239</v>
      </c>
      <c r="E6" s="16" t="s">
        <v>240</v>
      </c>
      <c r="F6" s="16" t="s">
        <v>241</v>
      </c>
      <c r="G6" s="16">
        <v>3</v>
      </c>
      <c r="H6" s="16">
        <v>4</v>
      </c>
      <c r="I6" s="17">
        <f t="shared" si="0"/>
        <v>12</v>
      </c>
      <c r="J6" s="17" t="str">
        <f t="shared" si="1"/>
        <v>висок</v>
      </c>
      <c r="K6" s="17" t="str">
        <f>IF(I6="","",IF(I6&lt;=Скали!$B$1,"да","не"))</f>
        <v>не</v>
      </c>
      <c r="L6" s="16" t="s">
        <v>216</v>
      </c>
      <c r="M6" s="16" t="s">
        <v>122</v>
      </c>
      <c r="N6" s="16" t="s">
        <v>236</v>
      </c>
      <c r="O6" s="16"/>
      <c r="P6" s="16">
        <v>1</v>
      </c>
      <c r="Q6" s="16">
        <v>4</v>
      </c>
      <c r="R6" s="17">
        <f t="shared" si="2"/>
        <v>4</v>
      </c>
      <c r="S6" s="16"/>
    </row>
    <row r="7" spans="1:19" ht="39.6" x14ac:dyDescent="0.3">
      <c r="A7" s="16" t="s">
        <v>242</v>
      </c>
      <c r="B7" s="16" t="s">
        <v>243</v>
      </c>
      <c r="C7" s="16" t="s">
        <v>244</v>
      </c>
      <c r="D7" s="16" t="s">
        <v>245</v>
      </c>
      <c r="E7" s="16" t="s">
        <v>246</v>
      </c>
      <c r="F7" s="16" t="s">
        <v>241</v>
      </c>
      <c r="G7" s="16">
        <v>3</v>
      </c>
      <c r="H7" s="16">
        <v>4</v>
      </c>
      <c r="I7" s="17">
        <f t="shared" si="0"/>
        <v>12</v>
      </c>
      <c r="J7" s="17" t="str">
        <f t="shared" si="1"/>
        <v>висок</v>
      </c>
      <c r="K7" s="17" t="str">
        <f>IF(I7="","",IF(I7&lt;=Скали!$B$1,"да","не"))</f>
        <v>не</v>
      </c>
      <c r="L7" s="16" t="s">
        <v>216</v>
      </c>
      <c r="M7" s="16" t="s">
        <v>146</v>
      </c>
      <c r="N7" s="16" t="s">
        <v>236</v>
      </c>
      <c r="O7" s="16"/>
      <c r="P7" s="16">
        <v>2</v>
      </c>
      <c r="Q7" s="16">
        <v>3</v>
      </c>
      <c r="R7" s="17">
        <f t="shared" si="2"/>
        <v>6</v>
      </c>
      <c r="S7" s="16"/>
    </row>
    <row r="8" spans="1:19" ht="26.4" x14ac:dyDescent="0.3">
      <c r="A8" s="16" t="s">
        <v>247</v>
      </c>
      <c r="B8" s="16" t="s">
        <v>248</v>
      </c>
      <c r="C8" s="16" t="s">
        <v>249</v>
      </c>
      <c r="D8" s="16" t="s">
        <v>250</v>
      </c>
      <c r="E8" s="16" t="s">
        <v>251</v>
      </c>
      <c r="F8" s="16" t="s">
        <v>252</v>
      </c>
      <c r="G8" s="16">
        <v>2</v>
      </c>
      <c r="H8" s="16">
        <v>4</v>
      </c>
      <c r="I8" s="17">
        <f t="shared" si="0"/>
        <v>8</v>
      </c>
      <c r="J8" s="17" t="str">
        <f t="shared" si="1"/>
        <v>умерен</v>
      </c>
      <c r="K8" s="17" t="str">
        <f>IF(I8="","",IF(I8&lt;=Скали!$B$1,"да","не"))</f>
        <v>да</v>
      </c>
      <c r="L8" s="16" t="s">
        <v>253</v>
      </c>
      <c r="M8" s="16" t="s">
        <v>146</v>
      </c>
      <c r="N8" s="16" t="s">
        <v>143</v>
      </c>
      <c r="O8" s="16"/>
      <c r="P8" s="16">
        <v>2</v>
      </c>
      <c r="Q8" s="16">
        <v>4</v>
      </c>
      <c r="R8" s="17">
        <f t="shared" si="2"/>
        <v>8</v>
      </c>
      <c r="S8" s="16"/>
    </row>
    <row r="9" spans="1:19" ht="26.4" x14ac:dyDescent="0.3">
      <c r="A9" s="16" t="s">
        <v>254</v>
      </c>
      <c r="B9" s="16" t="s">
        <v>255</v>
      </c>
      <c r="C9" s="16" t="s">
        <v>256</v>
      </c>
      <c r="D9" s="16" t="s">
        <v>257</v>
      </c>
      <c r="E9" s="16" t="s">
        <v>258</v>
      </c>
      <c r="F9" s="16" t="s">
        <v>241</v>
      </c>
      <c r="G9" s="16">
        <v>3</v>
      </c>
      <c r="H9" s="16">
        <v>4</v>
      </c>
      <c r="I9" s="17">
        <f t="shared" si="0"/>
        <v>12</v>
      </c>
      <c r="J9" s="17" t="str">
        <f t="shared" si="1"/>
        <v>висок</v>
      </c>
      <c r="K9" s="17" t="str">
        <f>IF(I9="","",IF(I9&lt;=Скали!$B$1,"да","не"))</f>
        <v>не</v>
      </c>
      <c r="L9" s="16" t="s">
        <v>216</v>
      </c>
      <c r="M9" s="16" t="s">
        <v>146</v>
      </c>
      <c r="N9" s="16" t="s">
        <v>236</v>
      </c>
      <c r="O9" s="16"/>
      <c r="P9" s="16">
        <v>1</v>
      </c>
      <c r="Q9" s="16">
        <v>4</v>
      </c>
      <c r="R9" s="17">
        <f t="shared" si="2"/>
        <v>4</v>
      </c>
      <c r="S9" s="16"/>
    </row>
    <row r="10" spans="1:19" ht="39.6" x14ac:dyDescent="0.3">
      <c r="A10" s="16" t="s">
        <v>259</v>
      </c>
      <c r="B10" s="16" t="s">
        <v>159</v>
      </c>
      <c r="C10" s="16" t="s">
        <v>260</v>
      </c>
      <c r="D10" s="16" t="s">
        <v>261</v>
      </c>
      <c r="E10" s="16" t="s">
        <v>262</v>
      </c>
      <c r="F10" s="16" t="s">
        <v>241</v>
      </c>
      <c r="G10" s="16">
        <v>3</v>
      </c>
      <c r="H10" s="16">
        <v>4</v>
      </c>
      <c r="I10" s="17">
        <f t="shared" si="0"/>
        <v>12</v>
      </c>
      <c r="J10" s="17" t="str">
        <f t="shared" si="1"/>
        <v>висок</v>
      </c>
      <c r="K10" s="17" t="str">
        <f>IF(I10="","",IF(I10&lt;=Скали!$B$1,"да","не"))</f>
        <v>не</v>
      </c>
      <c r="L10" s="16" t="s">
        <v>216</v>
      </c>
      <c r="M10" s="16" t="s">
        <v>146</v>
      </c>
      <c r="N10" s="16" t="s">
        <v>236</v>
      </c>
      <c r="O10" s="16"/>
      <c r="P10" s="16">
        <v>1</v>
      </c>
      <c r="Q10" s="16">
        <v>4</v>
      </c>
      <c r="R10" s="17">
        <f t="shared" si="2"/>
        <v>4</v>
      </c>
      <c r="S10" s="16"/>
    </row>
    <row r="11" spans="1:19" ht="39.6" x14ac:dyDescent="0.3">
      <c r="A11" s="16" t="s">
        <v>263</v>
      </c>
      <c r="B11" s="16" t="s">
        <v>164</v>
      </c>
      <c r="C11" s="16" t="s">
        <v>264</v>
      </c>
      <c r="D11" s="16" t="s">
        <v>265</v>
      </c>
      <c r="E11" s="16" t="s">
        <v>266</v>
      </c>
      <c r="F11" s="16" t="s">
        <v>241</v>
      </c>
      <c r="G11" s="16">
        <v>2</v>
      </c>
      <c r="H11" s="16">
        <v>5</v>
      </c>
      <c r="I11" s="17">
        <f t="shared" si="0"/>
        <v>10</v>
      </c>
      <c r="J11" s="17" t="str">
        <f t="shared" si="1"/>
        <v>висок</v>
      </c>
      <c r="K11" s="17" t="str">
        <f>IF(I11="","",IF(I11&lt;=Скали!$B$1,"да","не"))</f>
        <v>не</v>
      </c>
      <c r="L11" s="16" t="s">
        <v>216</v>
      </c>
      <c r="M11" s="16" t="s">
        <v>122</v>
      </c>
      <c r="N11" s="16" t="s">
        <v>236</v>
      </c>
      <c r="O11" s="16"/>
      <c r="P11" s="16">
        <v>1</v>
      </c>
      <c r="Q11" s="16">
        <v>5</v>
      </c>
      <c r="R11" s="17">
        <f t="shared" si="2"/>
        <v>5</v>
      </c>
      <c r="S11" s="16"/>
    </row>
    <row r="12" spans="1:19" ht="26.4" x14ac:dyDescent="0.3">
      <c r="A12" s="16" t="s">
        <v>267</v>
      </c>
      <c r="B12" s="16" t="s">
        <v>268</v>
      </c>
      <c r="C12" s="16" t="s">
        <v>269</v>
      </c>
      <c r="D12" s="16" t="s">
        <v>270</v>
      </c>
      <c r="E12" s="16" t="s">
        <v>271</v>
      </c>
      <c r="F12" s="16" t="s">
        <v>241</v>
      </c>
      <c r="G12" s="16">
        <v>2</v>
      </c>
      <c r="H12" s="16">
        <v>5</v>
      </c>
      <c r="I12" s="17">
        <f t="shared" si="0"/>
        <v>10</v>
      </c>
      <c r="J12" s="17" t="str">
        <f t="shared" si="1"/>
        <v>висок</v>
      </c>
      <c r="K12" s="17" t="str">
        <f>IF(I12="","",IF(I12&lt;=Скали!$B$1,"да","не"))</f>
        <v>не</v>
      </c>
      <c r="L12" s="16" t="s">
        <v>216</v>
      </c>
      <c r="M12" s="16" t="s">
        <v>122</v>
      </c>
      <c r="N12" s="16" t="s">
        <v>236</v>
      </c>
      <c r="O12" s="16"/>
      <c r="P12" s="16">
        <v>1</v>
      </c>
      <c r="Q12" s="16">
        <v>5</v>
      </c>
      <c r="R12" s="17">
        <f t="shared" si="2"/>
        <v>5</v>
      </c>
      <c r="S12" s="16"/>
    </row>
    <row r="13" spans="1:19" ht="26.4" x14ac:dyDescent="0.3">
      <c r="A13" s="16" t="s">
        <v>272</v>
      </c>
      <c r="B13" s="16" t="s">
        <v>132</v>
      </c>
      <c r="C13" s="16" t="s">
        <v>273</v>
      </c>
      <c r="D13" s="16" t="s">
        <v>274</v>
      </c>
      <c r="E13" s="16" t="s">
        <v>275</v>
      </c>
      <c r="F13" s="16" t="s">
        <v>276</v>
      </c>
      <c r="G13" s="16">
        <v>2</v>
      </c>
      <c r="H13" s="16">
        <v>3</v>
      </c>
      <c r="I13" s="17">
        <f t="shared" si="0"/>
        <v>6</v>
      </c>
      <c r="J13" s="17" t="str">
        <f t="shared" si="1"/>
        <v>умерен</v>
      </c>
      <c r="K13" s="17" t="str">
        <f>IF(I13="","",IF(I13&lt;=Скали!$B$1,"да","не"))</f>
        <v>да</v>
      </c>
      <c r="L13" s="16" t="s">
        <v>253</v>
      </c>
      <c r="M13" s="16" t="s">
        <v>146</v>
      </c>
      <c r="N13" s="16" t="s">
        <v>143</v>
      </c>
      <c r="O13" s="16"/>
      <c r="P13" s="16">
        <v>2</v>
      </c>
      <c r="Q13" s="16">
        <v>3</v>
      </c>
      <c r="R13" s="17">
        <f t="shared" si="2"/>
        <v>6</v>
      </c>
      <c r="S13" s="16"/>
    </row>
    <row r="14" spans="1:19" ht="39.6" x14ac:dyDescent="0.3">
      <c r="A14" s="16" t="s">
        <v>277</v>
      </c>
      <c r="B14" s="16" t="s">
        <v>149</v>
      </c>
      <c r="C14" s="16" t="s">
        <v>278</v>
      </c>
      <c r="D14" s="16" t="s">
        <v>279</v>
      </c>
      <c r="E14" s="16" t="s">
        <v>280</v>
      </c>
      <c r="F14" s="16" t="s">
        <v>281</v>
      </c>
      <c r="G14" s="16">
        <v>2</v>
      </c>
      <c r="H14" s="16">
        <v>3</v>
      </c>
      <c r="I14" s="17">
        <f t="shared" si="0"/>
        <v>6</v>
      </c>
      <c r="J14" s="17" t="str">
        <f t="shared" si="1"/>
        <v>умерен</v>
      </c>
      <c r="K14" s="17" t="str">
        <f>IF(I14="","",IF(I14&lt;=Скали!$B$1,"да","не"))</f>
        <v>да</v>
      </c>
      <c r="L14" s="16" t="s">
        <v>253</v>
      </c>
      <c r="M14" s="16" t="s">
        <v>146</v>
      </c>
      <c r="N14" s="16" t="s">
        <v>143</v>
      </c>
      <c r="O14" s="16"/>
      <c r="P14" s="16">
        <v>2</v>
      </c>
      <c r="Q14" s="16">
        <v>3</v>
      </c>
      <c r="R14" s="17">
        <f t="shared" si="2"/>
        <v>6</v>
      </c>
      <c r="S14" s="16"/>
    </row>
    <row r="15" spans="1:19" ht="26.4" x14ac:dyDescent="0.3">
      <c r="A15" s="16" t="s">
        <v>282</v>
      </c>
      <c r="B15" s="16" t="s">
        <v>120</v>
      </c>
      <c r="C15" s="16" t="s">
        <v>283</v>
      </c>
      <c r="D15" s="16" t="s">
        <v>284</v>
      </c>
      <c r="E15" s="16" t="s">
        <v>285</v>
      </c>
      <c r="F15" s="16" t="s">
        <v>286</v>
      </c>
      <c r="G15" s="16">
        <v>3</v>
      </c>
      <c r="H15" s="16">
        <v>3</v>
      </c>
      <c r="I15" s="17">
        <f t="shared" si="0"/>
        <v>9</v>
      </c>
      <c r="J15" s="17" t="str">
        <f t="shared" si="1"/>
        <v>умерен</v>
      </c>
      <c r="K15" s="17" t="str">
        <f>IF(I15="","",IF(I15&lt;=Скали!$B$1,"да","не"))</f>
        <v>да</v>
      </c>
      <c r="L15" s="16" t="s">
        <v>216</v>
      </c>
      <c r="M15" s="16" t="s">
        <v>122</v>
      </c>
      <c r="N15" s="16" t="s">
        <v>236</v>
      </c>
      <c r="O15" s="16"/>
      <c r="P15" s="16">
        <v>2</v>
      </c>
      <c r="Q15" s="16">
        <v>3</v>
      </c>
      <c r="R15" s="17">
        <f t="shared" si="2"/>
        <v>6</v>
      </c>
      <c r="S15" s="16"/>
    </row>
    <row r="16" spans="1:19" ht="26.4" x14ac:dyDescent="0.3">
      <c r="A16" s="16" t="s">
        <v>287</v>
      </c>
      <c r="B16" s="16" t="s">
        <v>104</v>
      </c>
      <c r="C16" s="16" t="s">
        <v>288</v>
      </c>
      <c r="D16" s="16" t="s">
        <v>289</v>
      </c>
      <c r="E16" s="16" t="s">
        <v>290</v>
      </c>
      <c r="F16" s="16" t="s">
        <v>291</v>
      </c>
      <c r="G16" s="16">
        <v>1</v>
      </c>
      <c r="H16" s="16">
        <v>4</v>
      </c>
      <c r="I16" s="17">
        <f t="shared" si="0"/>
        <v>4</v>
      </c>
      <c r="J16" s="17" t="str">
        <f t="shared" si="1"/>
        <v>нисък</v>
      </c>
      <c r="K16" s="17" t="str">
        <f>IF(I16="","",IF(I16&lt;=Скали!$B$1,"да","не"))</f>
        <v>да</v>
      </c>
      <c r="L16" s="16" t="s">
        <v>253</v>
      </c>
      <c r="M16" s="16" t="s">
        <v>107</v>
      </c>
      <c r="N16" s="16" t="s">
        <v>143</v>
      </c>
      <c r="O16" s="16"/>
      <c r="P16" s="16">
        <v>1</v>
      </c>
      <c r="Q16" s="16">
        <v>4</v>
      </c>
      <c r="R16" s="17">
        <f t="shared" si="2"/>
        <v>4</v>
      </c>
      <c r="S16" s="16"/>
    </row>
    <row r="17" spans="1:19" ht="39.6" x14ac:dyDescent="0.3">
      <c r="A17" s="16" t="s">
        <v>292</v>
      </c>
      <c r="B17" s="16" t="s">
        <v>192</v>
      </c>
      <c r="C17" s="16" t="s">
        <v>293</v>
      </c>
      <c r="D17" s="16" t="s">
        <v>294</v>
      </c>
      <c r="E17" s="16" t="s">
        <v>295</v>
      </c>
      <c r="F17" s="16" t="s">
        <v>241</v>
      </c>
      <c r="G17" s="16">
        <v>2</v>
      </c>
      <c r="H17" s="16">
        <v>5</v>
      </c>
      <c r="I17" s="17">
        <f t="shared" si="0"/>
        <v>10</v>
      </c>
      <c r="J17" s="17" t="str">
        <f t="shared" si="1"/>
        <v>висок</v>
      </c>
      <c r="K17" s="17" t="str">
        <f>IF(I17="","",IF(I17&lt;=Скали!$B$1,"да","не"))</f>
        <v>не</v>
      </c>
      <c r="L17" s="16" t="s">
        <v>296</v>
      </c>
      <c r="M17" s="16" t="s">
        <v>146</v>
      </c>
      <c r="N17" s="16" t="s">
        <v>236</v>
      </c>
      <c r="O17" s="16"/>
      <c r="P17" s="16">
        <v>2</v>
      </c>
      <c r="Q17" s="16">
        <v>4</v>
      </c>
      <c r="R17" s="17">
        <f t="shared" si="2"/>
        <v>8</v>
      </c>
      <c r="S17" s="16"/>
    </row>
    <row r="18" spans="1:19" x14ac:dyDescent="0.3">
      <c r="A18" s="16"/>
      <c r="B18" s="16"/>
      <c r="C18" s="16"/>
      <c r="D18" s="16"/>
      <c r="E18" s="16"/>
      <c r="F18" s="16"/>
      <c r="G18" s="16"/>
      <c r="H18" s="16"/>
      <c r="I18" s="17" t="str">
        <f t="shared" si="0"/>
        <v/>
      </c>
      <c r="J18" s="17" t="str">
        <f t="shared" si="1"/>
        <v/>
      </c>
      <c r="K18" s="17" t="str">
        <f>IF(I18="","",IF(I18&lt;=Скали!$B$1,"да","не"))</f>
        <v/>
      </c>
      <c r="L18" s="16"/>
      <c r="M18" s="16"/>
      <c r="N18" s="16"/>
      <c r="O18" s="16"/>
      <c r="P18" s="16"/>
      <c r="Q18" s="16"/>
      <c r="R18" s="17" t="str">
        <f t="shared" si="2"/>
        <v/>
      </c>
      <c r="S18" s="16"/>
    </row>
    <row r="19" spans="1:19" x14ac:dyDescent="0.3">
      <c r="A19" s="16"/>
      <c r="B19" s="16"/>
      <c r="C19" s="16"/>
      <c r="D19" s="16"/>
      <c r="E19" s="16"/>
      <c r="F19" s="16"/>
      <c r="G19" s="16"/>
      <c r="H19" s="16"/>
      <c r="I19" s="17" t="str">
        <f t="shared" si="0"/>
        <v/>
      </c>
      <c r="J19" s="17" t="str">
        <f t="shared" si="1"/>
        <v/>
      </c>
      <c r="K19" s="17" t="str">
        <f>IF(I19="","",IF(I19&lt;=Скали!$B$1,"да","не"))</f>
        <v/>
      </c>
      <c r="L19" s="16"/>
      <c r="M19" s="16"/>
      <c r="N19" s="16"/>
      <c r="O19" s="16"/>
      <c r="P19" s="16"/>
      <c r="Q19" s="16"/>
      <c r="R19" s="17" t="str">
        <f t="shared" si="2"/>
        <v/>
      </c>
      <c r="S19" s="16"/>
    </row>
    <row r="20" spans="1:19" x14ac:dyDescent="0.3">
      <c r="A20" s="16"/>
      <c r="B20" s="16"/>
      <c r="C20" s="16"/>
      <c r="D20" s="16"/>
      <c r="E20" s="16"/>
      <c r="F20" s="16"/>
      <c r="G20" s="16"/>
      <c r="H20" s="16"/>
      <c r="I20" s="17" t="str">
        <f t="shared" si="0"/>
        <v/>
      </c>
      <c r="J20" s="17" t="str">
        <f t="shared" si="1"/>
        <v/>
      </c>
      <c r="K20" s="17" t="str">
        <f>IF(I20="","",IF(I20&lt;=Скали!$B$1,"да","не"))</f>
        <v/>
      </c>
      <c r="L20" s="16"/>
      <c r="M20" s="16"/>
      <c r="N20" s="16"/>
      <c r="O20" s="16"/>
      <c r="P20" s="16"/>
      <c r="Q20" s="16"/>
      <c r="R20" s="17" t="str">
        <f t="shared" si="2"/>
        <v/>
      </c>
      <c r="S20" s="16"/>
    </row>
    <row r="21" spans="1:19" x14ac:dyDescent="0.3">
      <c r="A21" s="16"/>
      <c r="B21" s="16"/>
      <c r="C21" s="16"/>
      <c r="D21" s="16"/>
      <c r="E21" s="16"/>
      <c r="F21" s="16"/>
      <c r="G21" s="16"/>
      <c r="H21" s="16"/>
      <c r="I21" s="17" t="str">
        <f t="shared" si="0"/>
        <v/>
      </c>
      <c r="J21" s="17" t="str">
        <f t="shared" si="1"/>
        <v/>
      </c>
      <c r="K21" s="17" t="str">
        <f>IF(I21="","",IF(I21&lt;=Скали!$B$1,"да","не"))</f>
        <v/>
      </c>
      <c r="L21" s="16"/>
      <c r="M21" s="16"/>
      <c r="N21" s="16"/>
      <c r="O21" s="16"/>
      <c r="P21" s="16"/>
      <c r="Q21" s="16"/>
      <c r="R21" s="17" t="str">
        <f t="shared" si="2"/>
        <v/>
      </c>
      <c r="S21" s="16"/>
    </row>
    <row r="22" spans="1:19" x14ac:dyDescent="0.3">
      <c r="A22" s="16"/>
      <c r="B22" s="16"/>
      <c r="C22" s="16"/>
      <c r="D22" s="16"/>
      <c r="E22" s="16"/>
      <c r="F22" s="16"/>
      <c r="G22" s="16"/>
      <c r="H22" s="16"/>
      <c r="I22" s="17" t="str">
        <f t="shared" si="0"/>
        <v/>
      </c>
      <c r="J22" s="17" t="str">
        <f t="shared" si="1"/>
        <v/>
      </c>
      <c r="K22" s="17" t="str">
        <f>IF(I22="","",IF(I22&lt;=Скали!$B$1,"да","не"))</f>
        <v/>
      </c>
      <c r="L22" s="16"/>
      <c r="M22" s="16"/>
      <c r="N22" s="16"/>
      <c r="O22" s="16"/>
      <c r="P22" s="16"/>
      <c r="Q22" s="16"/>
      <c r="R22" s="17" t="str">
        <f t="shared" si="2"/>
        <v/>
      </c>
      <c r="S22" s="16"/>
    </row>
    <row r="23" spans="1:19" x14ac:dyDescent="0.3">
      <c r="A23" s="16"/>
      <c r="B23" s="16"/>
      <c r="C23" s="16"/>
      <c r="D23" s="16"/>
      <c r="E23" s="16"/>
      <c r="F23" s="16"/>
      <c r="G23" s="16"/>
      <c r="H23" s="16"/>
      <c r="I23" s="17" t="str">
        <f t="shared" si="0"/>
        <v/>
      </c>
      <c r="J23" s="17" t="str">
        <f t="shared" si="1"/>
        <v/>
      </c>
      <c r="K23" s="17" t="str">
        <f>IF(I23="","",IF(I23&lt;=Скали!$B$1,"да","не"))</f>
        <v/>
      </c>
      <c r="L23" s="16"/>
      <c r="M23" s="16"/>
      <c r="N23" s="16"/>
      <c r="O23" s="16"/>
      <c r="P23" s="16"/>
      <c r="Q23" s="16"/>
      <c r="R23" s="17" t="str">
        <f t="shared" si="2"/>
        <v/>
      </c>
      <c r="S23" s="16"/>
    </row>
    <row r="24" spans="1:19" x14ac:dyDescent="0.3">
      <c r="A24" s="16"/>
      <c r="B24" s="16"/>
      <c r="C24" s="16"/>
      <c r="D24" s="16"/>
      <c r="E24" s="16"/>
      <c r="F24" s="16"/>
      <c r="G24" s="16"/>
      <c r="H24" s="16"/>
      <c r="I24" s="17" t="str">
        <f t="shared" si="0"/>
        <v/>
      </c>
      <c r="J24" s="17" t="str">
        <f t="shared" si="1"/>
        <v/>
      </c>
      <c r="K24" s="17" t="str">
        <f>IF(I24="","",IF(I24&lt;=Скали!$B$1,"да","не"))</f>
        <v/>
      </c>
      <c r="L24" s="16"/>
      <c r="M24" s="16"/>
      <c r="N24" s="16"/>
      <c r="O24" s="16"/>
      <c r="P24" s="16"/>
      <c r="Q24" s="16"/>
      <c r="R24" s="17" t="str">
        <f t="shared" si="2"/>
        <v/>
      </c>
      <c r="S24" s="16"/>
    </row>
    <row r="25" spans="1:19" x14ac:dyDescent="0.3">
      <c r="A25" s="16"/>
      <c r="B25" s="16"/>
      <c r="C25" s="16"/>
      <c r="D25" s="16"/>
      <c r="E25" s="16"/>
      <c r="F25" s="16"/>
      <c r="G25" s="16"/>
      <c r="H25" s="16"/>
      <c r="I25" s="17" t="str">
        <f t="shared" si="0"/>
        <v/>
      </c>
      <c r="J25" s="17" t="str">
        <f t="shared" si="1"/>
        <v/>
      </c>
      <c r="K25" s="17" t="str">
        <f>IF(I25="","",IF(I25&lt;=Скали!$B$1,"да","не"))</f>
        <v/>
      </c>
      <c r="L25" s="16"/>
      <c r="M25" s="16"/>
      <c r="N25" s="16"/>
      <c r="O25" s="16"/>
      <c r="P25" s="16"/>
      <c r="Q25" s="16"/>
      <c r="R25" s="17" t="str">
        <f t="shared" si="2"/>
        <v/>
      </c>
      <c r="S25" s="16"/>
    </row>
    <row r="26" spans="1:19" x14ac:dyDescent="0.3">
      <c r="A26" s="16"/>
      <c r="B26" s="16"/>
      <c r="C26" s="16"/>
      <c r="D26" s="16"/>
      <c r="E26" s="16"/>
      <c r="F26" s="16"/>
      <c r="G26" s="16"/>
      <c r="H26" s="16"/>
      <c r="I26" s="17" t="str">
        <f t="shared" si="0"/>
        <v/>
      </c>
      <c r="J26" s="17" t="str">
        <f t="shared" si="1"/>
        <v/>
      </c>
      <c r="K26" s="17" t="str">
        <f>IF(I26="","",IF(I26&lt;=Скали!$B$1,"да","не"))</f>
        <v/>
      </c>
      <c r="L26" s="16"/>
      <c r="M26" s="16"/>
      <c r="N26" s="16"/>
      <c r="O26" s="16"/>
      <c r="P26" s="16"/>
      <c r="Q26" s="16"/>
      <c r="R26" s="17" t="str">
        <f t="shared" si="2"/>
        <v/>
      </c>
      <c r="S26" s="16"/>
    </row>
    <row r="27" spans="1:19" x14ac:dyDescent="0.3">
      <c r="A27" s="16"/>
      <c r="B27" s="16"/>
      <c r="C27" s="16"/>
      <c r="D27" s="16"/>
      <c r="E27" s="16"/>
      <c r="F27" s="16"/>
      <c r="G27" s="16"/>
      <c r="H27" s="16"/>
      <c r="I27" s="17" t="str">
        <f t="shared" si="0"/>
        <v/>
      </c>
      <c r="J27" s="17" t="str">
        <f t="shared" si="1"/>
        <v/>
      </c>
      <c r="K27" s="17" t="str">
        <f>IF(I27="","",IF(I27&lt;=Скали!$B$1,"да","не"))</f>
        <v/>
      </c>
      <c r="L27" s="16"/>
      <c r="M27" s="16"/>
      <c r="N27" s="16"/>
      <c r="O27" s="16"/>
      <c r="P27" s="16"/>
      <c r="Q27" s="16"/>
      <c r="R27" s="17" t="str">
        <f t="shared" si="2"/>
        <v/>
      </c>
      <c r="S27" s="16"/>
    </row>
    <row r="28" spans="1:19" x14ac:dyDescent="0.3">
      <c r="A28" s="16"/>
      <c r="B28" s="16"/>
      <c r="C28" s="16"/>
      <c r="D28" s="16"/>
      <c r="E28" s="16"/>
      <c r="F28" s="16"/>
      <c r="G28" s="16"/>
      <c r="H28" s="16"/>
      <c r="I28" s="17" t="str">
        <f t="shared" si="0"/>
        <v/>
      </c>
      <c r="J28" s="17" t="str">
        <f t="shared" si="1"/>
        <v/>
      </c>
      <c r="K28" s="17" t="str">
        <f>IF(I28="","",IF(I28&lt;=Скали!$B$1,"да","не"))</f>
        <v/>
      </c>
      <c r="L28" s="16"/>
      <c r="M28" s="16"/>
      <c r="N28" s="16"/>
      <c r="O28" s="16"/>
      <c r="P28" s="16"/>
      <c r="Q28" s="16"/>
      <c r="R28" s="17" t="str">
        <f t="shared" si="2"/>
        <v/>
      </c>
      <c r="S28" s="16"/>
    </row>
    <row r="29" spans="1:19" x14ac:dyDescent="0.3">
      <c r="A29" s="16"/>
      <c r="B29" s="16"/>
      <c r="C29" s="16"/>
      <c r="D29" s="16"/>
      <c r="E29" s="16"/>
      <c r="F29" s="16"/>
      <c r="G29" s="16"/>
      <c r="H29" s="16"/>
      <c r="I29" s="17" t="str">
        <f t="shared" si="0"/>
        <v/>
      </c>
      <c r="J29" s="17" t="str">
        <f t="shared" si="1"/>
        <v/>
      </c>
      <c r="K29" s="17" t="str">
        <f>IF(I29="","",IF(I29&lt;=Скали!$B$1,"да","не"))</f>
        <v/>
      </c>
      <c r="L29" s="16"/>
      <c r="M29" s="16"/>
      <c r="N29" s="16"/>
      <c r="O29" s="16"/>
      <c r="P29" s="16"/>
      <c r="Q29" s="16"/>
      <c r="R29" s="17" t="str">
        <f t="shared" si="2"/>
        <v/>
      </c>
      <c r="S29" s="16"/>
    </row>
    <row r="30" spans="1:19" x14ac:dyDescent="0.3">
      <c r="A30" s="16"/>
      <c r="B30" s="16"/>
      <c r="C30" s="16"/>
      <c r="D30" s="16"/>
      <c r="E30" s="16"/>
      <c r="F30" s="16"/>
      <c r="G30" s="16"/>
      <c r="H30" s="16"/>
      <c r="I30" s="17" t="str">
        <f t="shared" si="0"/>
        <v/>
      </c>
      <c r="J30" s="17" t="str">
        <f t="shared" si="1"/>
        <v/>
      </c>
      <c r="K30" s="17" t="str">
        <f>IF(I30="","",IF(I30&lt;=Скали!$B$1,"да","не"))</f>
        <v/>
      </c>
      <c r="L30" s="16"/>
      <c r="M30" s="16"/>
      <c r="N30" s="16"/>
      <c r="O30" s="16"/>
      <c r="P30" s="16"/>
      <c r="Q30" s="16"/>
      <c r="R30" s="17" t="str">
        <f t="shared" si="2"/>
        <v/>
      </c>
      <c r="S30" s="16"/>
    </row>
    <row r="31" spans="1:19" x14ac:dyDescent="0.3">
      <c r="A31" s="16"/>
      <c r="B31" s="16"/>
      <c r="C31" s="16"/>
      <c r="D31" s="16"/>
      <c r="E31" s="16"/>
      <c r="F31" s="16"/>
      <c r="G31" s="16"/>
      <c r="H31" s="16"/>
      <c r="I31" s="17" t="str">
        <f t="shared" si="0"/>
        <v/>
      </c>
      <c r="J31" s="17" t="str">
        <f t="shared" si="1"/>
        <v/>
      </c>
      <c r="K31" s="17" t="str">
        <f>IF(I31="","",IF(I31&lt;=Скали!$B$1,"да","не"))</f>
        <v/>
      </c>
      <c r="L31" s="16"/>
      <c r="M31" s="16"/>
      <c r="N31" s="16"/>
      <c r="O31" s="16"/>
      <c r="P31" s="16"/>
      <c r="Q31" s="16"/>
      <c r="R31" s="17" t="str">
        <f t="shared" si="2"/>
        <v/>
      </c>
      <c r="S31" s="16"/>
    </row>
    <row r="32" spans="1:19" x14ac:dyDescent="0.3">
      <c r="A32" s="16"/>
      <c r="B32" s="16"/>
      <c r="C32" s="16"/>
      <c r="D32" s="16"/>
      <c r="E32" s="16"/>
      <c r="F32" s="16"/>
      <c r="G32" s="16"/>
      <c r="H32" s="16"/>
      <c r="I32" s="17" t="str">
        <f t="shared" si="0"/>
        <v/>
      </c>
      <c r="J32" s="17" t="str">
        <f t="shared" si="1"/>
        <v/>
      </c>
      <c r="K32" s="17" t="str">
        <f>IF(I32="","",IF(I32&lt;=Скали!$B$1,"да","не"))</f>
        <v/>
      </c>
      <c r="L32" s="16"/>
      <c r="M32" s="16"/>
      <c r="N32" s="16"/>
      <c r="O32" s="16"/>
      <c r="P32" s="16"/>
      <c r="Q32" s="16"/>
      <c r="R32" s="17" t="str">
        <f t="shared" si="2"/>
        <v/>
      </c>
      <c r="S32" s="16"/>
    </row>
    <row r="33" spans="1:19" x14ac:dyDescent="0.3">
      <c r="A33" s="16"/>
      <c r="B33" s="16"/>
      <c r="C33" s="16"/>
      <c r="D33" s="16"/>
      <c r="E33" s="16"/>
      <c r="F33" s="16"/>
      <c r="G33" s="16"/>
      <c r="H33" s="16"/>
      <c r="I33" s="17" t="str">
        <f t="shared" si="0"/>
        <v/>
      </c>
      <c r="J33" s="17" t="str">
        <f t="shared" si="1"/>
        <v/>
      </c>
      <c r="K33" s="17" t="str">
        <f>IF(I33="","",IF(I33&lt;=Скали!$B$1,"да","не"))</f>
        <v/>
      </c>
      <c r="L33" s="16"/>
      <c r="M33" s="16"/>
      <c r="N33" s="16"/>
      <c r="O33" s="16"/>
      <c r="P33" s="16"/>
      <c r="Q33" s="16"/>
      <c r="R33" s="17" t="str">
        <f t="shared" si="2"/>
        <v/>
      </c>
      <c r="S33" s="16"/>
    </row>
    <row r="34" spans="1:19" x14ac:dyDescent="0.3">
      <c r="A34" s="16"/>
      <c r="B34" s="16"/>
      <c r="C34" s="16"/>
      <c r="D34" s="16"/>
      <c r="E34" s="16"/>
      <c r="F34" s="16"/>
      <c r="G34" s="16"/>
      <c r="H34" s="16"/>
      <c r="I34" s="17" t="str">
        <f t="shared" si="0"/>
        <v/>
      </c>
      <c r="J34" s="17" t="str">
        <f t="shared" si="1"/>
        <v/>
      </c>
      <c r="K34" s="17" t="str">
        <f>IF(I34="","",IF(I34&lt;=Скали!$B$1,"да","не"))</f>
        <v/>
      </c>
      <c r="L34" s="16"/>
      <c r="M34" s="16"/>
      <c r="N34" s="16"/>
      <c r="O34" s="16"/>
      <c r="P34" s="16"/>
      <c r="Q34" s="16"/>
      <c r="R34" s="17" t="str">
        <f t="shared" si="2"/>
        <v/>
      </c>
      <c r="S34" s="16"/>
    </row>
    <row r="35" spans="1:19" x14ac:dyDescent="0.3">
      <c r="A35" s="16"/>
      <c r="B35" s="16"/>
      <c r="C35" s="16"/>
      <c r="D35" s="16"/>
      <c r="E35" s="16"/>
      <c r="F35" s="16"/>
      <c r="G35" s="16"/>
      <c r="H35" s="16"/>
      <c r="I35" s="17" t="str">
        <f t="shared" si="0"/>
        <v/>
      </c>
      <c r="J35" s="17" t="str">
        <f t="shared" si="1"/>
        <v/>
      </c>
      <c r="K35" s="17" t="str">
        <f>IF(I35="","",IF(I35&lt;=Скали!$B$1,"да","не"))</f>
        <v/>
      </c>
      <c r="L35" s="16"/>
      <c r="M35" s="16"/>
      <c r="N35" s="16"/>
      <c r="O35" s="16"/>
      <c r="P35" s="16"/>
      <c r="Q35" s="16"/>
      <c r="R35" s="17" t="str">
        <f t="shared" si="2"/>
        <v/>
      </c>
      <c r="S35" s="16"/>
    </row>
    <row r="36" spans="1:19" x14ac:dyDescent="0.3">
      <c r="A36" s="16"/>
      <c r="B36" s="16"/>
      <c r="C36" s="16"/>
      <c r="D36" s="16"/>
      <c r="E36" s="16"/>
      <c r="F36" s="16"/>
      <c r="G36" s="16"/>
      <c r="H36" s="16"/>
      <c r="I36" s="17" t="str">
        <f t="shared" si="0"/>
        <v/>
      </c>
      <c r="J36" s="17" t="str">
        <f t="shared" si="1"/>
        <v/>
      </c>
      <c r="K36" s="17" t="str">
        <f>IF(I36="","",IF(I36&lt;=Скали!$B$1,"да","не"))</f>
        <v/>
      </c>
      <c r="L36" s="16"/>
      <c r="M36" s="16"/>
      <c r="N36" s="16"/>
      <c r="O36" s="16"/>
      <c r="P36" s="16"/>
      <c r="Q36" s="16"/>
      <c r="R36" s="17" t="str">
        <f t="shared" si="2"/>
        <v/>
      </c>
      <c r="S36" s="16"/>
    </row>
    <row r="37" spans="1:19" x14ac:dyDescent="0.3">
      <c r="A37" s="16"/>
      <c r="B37" s="16"/>
      <c r="C37" s="16"/>
      <c r="D37" s="16"/>
      <c r="E37" s="16"/>
      <c r="F37" s="16"/>
      <c r="G37" s="16"/>
      <c r="H37" s="16"/>
      <c r="I37" s="17" t="str">
        <f t="shared" si="0"/>
        <v/>
      </c>
      <c r="J37" s="17" t="str">
        <f t="shared" si="1"/>
        <v/>
      </c>
      <c r="K37" s="17" t="str">
        <f>IF(I37="","",IF(I37&lt;=Скали!$B$1,"да","не"))</f>
        <v/>
      </c>
      <c r="L37" s="16"/>
      <c r="M37" s="16"/>
      <c r="N37" s="16"/>
      <c r="O37" s="16"/>
      <c r="P37" s="16"/>
      <c r="Q37" s="16"/>
      <c r="R37" s="17" t="str">
        <f t="shared" si="2"/>
        <v/>
      </c>
      <c r="S37" s="16"/>
    </row>
    <row r="38" spans="1:19" x14ac:dyDescent="0.3">
      <c r="A38" s="16"/>
      <c r="B38" s="16"/>
      <c r="C38" s="16"/>
      <c r="D38" s="16"/>
      <c r="E38" s="16"/>
      <c r="F38" s="16"/>
      <c r="G38" s="16"/>
      <c r="H38" s="16"/>
      <c r="I38" s="17" t="str">
        <f t="shared" si="0"/>
        <v/>
      </c>
      <c r="J38" s="17" t="str">
        <f t="shared" si="1"/>
        <v/>
      </c>
      <c r="K38" s="17" t="str">
        <f>IF(I38="","",IF(I38&lt;=Скали!$B$1,"да","не"))</f>
        <v/>
      </c>
      <c r="L38" s="16"/>
      <c r="M38" s="16"/>
      <c r="N38" s="16"/>
      <c r="O38" s="16"/>
      <c r="P38" s="16"/>
      <c r="Q38" s="16"/>
      <c r="R38" s="17" t="str">
        <f t="shared" si="2"/>
        <v/>
      </c>
      <c r="S38" s="16"/>
    </row>
    <row r="39" spans="1:19" x14ac:dyDescent="0.3">
      <c r="A39" s="16"/>
      <c r="B39" s="16"/>
      <c r="C39" s="16"/>
      <c r="D39" s="16"/>
      <c r="E39" s="16"/>
      <c r="F39" s="16"/>
      <c r="G39" s="16"/>
      <c r="H39" s="16"/>
      <c r="I39" s="17" t="str">
        <f t="shared" si="0"/>
        <v/>
      </c>
      <c r="J39" s="17" t="str">
        <f t="shared" si="1"/>
        <v/>
      </c>
      <c r="K39" s="17" t="str">
        <f>IF(I39="","",IF(I39&lt;=Скали!$B$1,"да","не"))</f>
        <v/>
      </c>
      <c r="L39" s="16"/>
      <c r="M39" s="16"/>
      <c r="N39" s="16"/>
      <c r="O39" s="16"/>
      <c r="P39" s="16"/>
      <c r="Q39" s="16"/>
      <c r="R39" s="17" t="str">
        <f t="shared" si="2"/>
        <v/>
      </c>
      <c r="S39" s="16"/>
    </row>
    <row r="40" spans="1:19" x14ac:dyDescent="0.3">
      <c r="A40" s="16"/>
      <c r="B40" s="16"/>
      <c r="C40" s="16"/>
      <c r="D40" s="16"/>
      <c r="E40" s="16"/>
      <c r="F40" s="16"/>
      <c r="G40" s="16"/>
      <c r="H40" s="16"/>
      <c r="I40" s="17" t="str">
        <f t="shared" si="0"/>
        <v/>
      </c>
      <c r="J40" s="17" t="str">
        <f t="shared" si="1"/>
        <v/>
      </c>
      <c r="K40" s="17" t="str">
        <f>IF(I40="","",IF(I40&lt;=Скали!$B$1,"да","не"))</f>
        <v/>
      </c>
      <c r="L40" s="16"/>
      <c r="M40" s="16"/>
      <c r="N40" s="16"/>
      <c r="O40" s="16"/>
      <c r="P40" s="16"/>
      <c r="Q40" s="16"/>
      <c r="R40" s="17" t="str">
        <f t="shared" si="2"/>
        <v/>
      </c>
      <c r="S40" s="16"/>
    </row>
    <row r="41" spans="1:19" x14ac:dyDescent="0.3">
      <c r="A41" s="16"/>
      <c r="B41" s="16"/>
      <c r="C41" s="16"/>
      <c r="D41" s="16"/>
      <c r="E41" s="16"/>
      <c r="F41" s="16"/>
      <c r="G41" s="16"/>
      <c r="H41" s="16"/>
      <c r="I41" s="17" t="str">
        <f t="shared" si="0"/>
        <v/>
      </c>
      <c r="J41" s="17" t="str">
        <f t="shared" si="1"/>
        <v/>
      </c>
      <c r="K41" s="17" t="str">
        <f>IF(I41="","",IF(I41&lt;=Скали!$B$1,"да","не"))</f>
        <v/>
      </c>
      <c r="L41" s="16"/>
      <c r="M41" s="16"/>
      <c r="N41" s="16"/>
      <c r="O41" s="16"/>
      <c r="P41" s="16"/>
      <c r="Q41" s="16"/>
      <c r="R41" s="17" t="str">
        <f t="shared" si="2"/>
        <v/>
      </c>
      <c r="S41" s="16"/>
    </row>
    <row r="42" spans="1:19" x14ac:dyDescent="0.3">
      <c r="A42" s="16"/>
      <c r="B42" s="16"/>
      <c r="C42" s="16"/>
      <c r="D42" s="16"/>
      <c r="E42" s="16"/>
      <c r="F42" s="16"/>
      <c r="G42" s="16"/>
      <c r="H42" s="16"/>
      <c r="I42" s="17" t="str">
        <f t="shared" si="0"/>
        <v/>
      </c>
      <c r="J42" s="17" t="str">
        <f t="shared" si="1"/>
        <v/>
      </c>
      <c r="K42" s="17" t="str">
        <f>IF(I42="","",IF(I42&lt;=Скали!$B$1,"да","не"))</f>
        <v/>
      </c>
      <c r="L42" s="16"/>
      <c r="M42" s="16"/>
      <c r="N42" s="16"/>
      <c r="O42" s="16"/>
      <c r="P42" s="16"/>
      <c r="Q42" s="16"/>
      <c r="R42" s="17" t="str">
        <f t="shared" si="2"/>
        <v/>
      </c>
      <c r="S42" s="16"/>
    </row>
    <row r="43" spans="1:19" x14ac:dyDescent="0.3">
      <c r="A43" s="16"/>
      <c r="B43" s="16"/>
      <c r="C43" s="16"/>
      <c r="D43" s="16"/>
      <c r="E43" s="16"/>
      <c r="F43" s="16"/>
      <c r="G43" s="16"/>
      <c r="H43" s="16"/>
      <c r="I43" s="17" t="str">
        <f t="shared" si="0"/>
        <v/>
      </c>
      <c r="J43" s="17" t="str">
        <f t="shared" si="1"/>
        <v/>
      </c>
      <c r="K43" s="17" t="str">
        <f>IF(I43="","",IF(I43&lt;=Скали!$B$1,"да","не"))</f>
        <v/>
      </c>
      <c r="L43" s="16"/>
      <c r="M43" s="16"/>
      <c r="N43" s="16"/>
      <c r="O43" s="16"/>
      <c r="P43" s="16"/>
      <c r="Q43" s="16"/>
      <c r="R43" s="17" t="str">
        <f t="shared" si="2"/>
        <v/>
      </c>
      <c r="S43" s="16"/>
    </row>
    <row r="44" spans="1:19" x14ac:dyDescent="0.3">
      <c r="A44" s="16"/>
      <c r="B44" s="16"/>
      <c r="C44" s="16"/>
      <c r="D44" s="16"/>
      <c r="E44" s="16"/>
      <c r="F44" s="16"/>
      <c r="G44" s="16"/>
      <c r="H44" s="16"/>
      <c r="I44" s="17" t="str">
        <f t="shared" si="0"/>
        <v/>
      </c>
      <c r="J44" s="17" t="str">
        <f t="shared" si="1"/>
        <v/>
      </c>
      <c r="K44" s="17" t="str">
        <f>IF(I44="","",IF(I44&lt;=Скали!$B$1,"да","не"))</f>
        <v/>
      </c>
      <c r="L44" s="16"/>
      <c r="M44" s="16"/>
      <c r="N44" s="16"/>
      <c r="O44" s="16"/>
      <c r="P44" s="16"/>
      <c r="Q44" s="16"/>
      <c r="R44" s="17" t="str">
        <f t="shared" si="2"/>
        <v/>
      </c>
      <c r="S44" s="16"/>
    </row>
    <row r="45" spans="1:19" x14ac:dyDescent="0.3">
      <c r="A45" s="16"/>
      <c r="B45" s="16"/>
      <c r="C45" s="16"/>
      <c r="D45" s="16"/>
      <c r="E45" s="16"/>
      <c r="F45" s="16"/>
      <c r="G45" s="16"/>
      <c r="H45" s="16"/>
      <c r="I45" s="17" t="str">
        <f t="shared" si="0"/>
        <v/>
      </c>
      <c r="J45" s="17" t="str">
        <f t="shared" si="1"/>
        <v/>
      </c>
      <c r="K45" s="17" t="str">
        <f>IF(I45="","",IF(I45&lt;=Скали!$B$1,"да","не"))</f>
        <v/>
      </c>
      <c r="L45" s="16"/>
      <c r="M45" s="16"/>
      <c r="N45" s="16"/>
      <c r="O45" s="16"/>
      <c r="P45" s="16"/>
      <c r="Q45" s="16"/>
      <c r="R45" s="17" t="str">
        <f t="shared" si="2"/>
        <v/>
      </c>
      <c r="S45" s="16"/>
    </row>
    <row r="46" spans="1:19" x14ac:dyDescent="0.3">
      <c r="A46" s="16"/>
      <c r="B46" s="16"/>
      <c r="C46" s="16"/>
      <c r="D46" s="16"/>
      <c r="E46" s="16"/>
      <c r="F46" s="16"/>
      <c r="G46" s="16"/>
      <c r="H46" s="16"/>
      <c r="I46" s="17" t="str">
        <f t="shared" si="0"/>
        <v/>
      </c>
      <c r="J46" s="17" t="str">
        <f t="shared" si="1"/>
        <v/>
      </c>
      <c r="K46" s="17" t="str">
        <f>IF(I46="","",IF(I46&lt;=Скали!$B$1,"да","не"))</f>
        <v/>
      </c>
      <c r="L46" s="16"/>
      <c r="M46" s="16"/>
      <c r="N46" s="16"/>
      <c r="O46" s="16"/>
      <c r="P46" s="16"/>
      <c r="Q46" s="16"/>
      <c r="R46" s="17" t="str">
        <f t="shared" si="2"/>
        <v/>
      </c>
      <c r="S46" s="16"/>
    </row>
    <row r="47" spans="1:19" x14ac:dyDescent="0.3">
      <c r="A47" s="16"/>
      <c r="B47" s="16"/>
      <c r="C47" s="16"/>
      <c r="D47" s="16"/>
      <c r="E47" s="16"/>
      <c r="F47" s="16"/>
      <c r="G47" s="16"/>
      <c r="H47" s="16"/>
      <c r="I47" s="17" t="str">
        <f t="shared" si="0"/>
        <v/>
      </c>
      <c r="J47" s="17" t="str">
        <f t="shared" si="1"/>
        <v/>
      </c>
      <c r="K47" s="17" t="str">
        <f>IF(I47="","",IF(I47&lt;=Скали!$B$1,"да","не"))</f>
        <v/>
      </c>
      <c r="L47" s="16"/>
      <c r="M47" s="16"/>
      <c r="N47" s="16"/>
      <c r="O47" s="16"/>
      <c r="P47" s="16"/>
      <c r="Q47" s="16"/>
      <c r="R47" s="17" t="str">
        <f t="shared" si="2"/>
        <v/>
      </c>
      <c r="S47" s="16"/>
    </row>
    <row r="48" spans="1:19" x14ac:dyDescent="0.3">
      <c r="A48" s="16"/>
      <c r="B48" s="16"/>
      <c r="C48" s="16"/>
      <c r="D48" s="16"/>
      <c r="E48" s="16"/>
      <c r="F48" s="16"/>
      <c r="G48" s="16"/>
      <c r="H48" s="16"/>
      <c r="I48" s="17" t="str">
        <f t="shared" si="0"/>
        <v/>
      </c>
      <c r="J48" s="17" t="str">
        <f t="shared" si="1"/>
        <v/>
      </c>
      <c r="K48" s="17" t="str">
        <f>IF(I48="","",IF(I48&lt;=Скали!$B$1,"да","не"))</f>
        <v/>
      </c>
      <c r="L48" s="16"/>
      <c r="M48" s="16"/>
      <c r="N48" s="16"/>
      <c r="O48" s="16"/>
      <c r="P48" s="16"/>
      <c r="Q48" s="16"/>
      <c r="R48" s="17" t="str">
        <f t="shared" si="2"/>
        <v/>
      </c>
      <c r="S48" s="16"/>
    </row>
    <row r="49" spans="1:19" x14ac:dyDescent="0.3">
      <c r="A49" s="16"/>
      <c r="B49" s="16"/>
      <c r="C49" s="16"/>
      <c r="D49" s="16"/>
      <c r="E49" s="16"/>
      <c r="F49" s="16"/>
      <c r="G49" s="16"/>
      <c r="H49" s="16"/>
      <c r="I49" s="17" t="str">
        <f t="shared" si="0"/>
        <v/>
      </c>
      <c r="J49" s="17" t="str">
        <f t="shared" si="1"/>
        <v/>
      </c>
      <c r="K49" s="17" t="str">
        <f>IF(I49="","",IF(I49&lt;=Скали!$B$1,"да","не"))</f>
        <v/>
      </c>
      <c r="L49" s="16"/>
      <c r="M49" s="16"/>
      <c r="N49" s="16"/>
      <c r="O49" s="16"/>
      <c r="P49" s="16"/>
      <c r="Q49" s="16"/>
      <c r="R49" s="17" t="str">
        <f t="shared" si="2"/>
        <v/>
      </c>
      <c r="S49" s="16"/>
    </row>
    <row r="50" spans="1:19" x14ac:dyDescent="0.3">
      <c r="A50" s="16"/>
      <c r="B50" s="16"/>
      <c r="C50" s="16"/>
      <c r="D50" s="16"/>
      <c r="E50" s="16"/>
      <c r="F50" s="16"/>
      <c r="G50" s="16"/>
      <c r="H50" s="16"/>
      <c r="I50" s="17" t="str">
        <f t="shared" si="0"/>
        <v/>
      </c>
      <c r="J50" s="17" t="str">
        <f t="shared" si="1"/>
        <v/>
      </c>
      <c r="K50" s="17" t="str">
        <f>IF(I50="","",IF(I50&lt;=Скали!$B$1,"да","не"))</f>
        <v/>
      </c>
      <c r="L50" s="16"/>
      <c r="M50" s="16"/>
      <c r="N50" s="16"/>
      <c r="O50" s="16"/>
      <c r="P50" s="16"/>
      <c r="Q50" s="16"/>
      <c r="R50" s="17" t="str">
        <f t="shared" si="2"/>
        <v/>
      </c>
      <c r="S50" s="16"/>
    </row>
    <row r="51" spans="1:19" x14ac:dyDescent="0.3">
      <c r="A51" s="16"/>
      <c r="B51" s="16"/>
      <c r="C51" s="16"/>
      <c r="D51" s="16"/>
      <c r="E51" s="16"/>
      <c r="F51" s="16"/>
      <c r="G51" s="16"/>
      <c r="H51" s="16"/>
      <c r="I51" s="17" t="str">
        <f t="shared" si="0"/>
        <v/>
      </c>
      <c r="J51" s="17" t="str">
        <f t="shared" si="1"/>
        <v/>
      </c>
      <c r="K51" s="17" t="str">
        <f>IF(I51="","",IF(I51&lt;=Скали!$B$1,"да","не"))</f>
        <v/>
      </c>
      <c r="L51" s="16"/>
      <c r="M51" s="16"/>
      <c r="N51" s="16"/>
      <c r="O51" s="16"/>
      <c r="P51" s="16"/>
      <c r="Q51" s="16"/>
      <c r="R51" s="17" t="str">
        <f t="shared" si="2"/>
        <v/>
      </c>
      <c r="S51" s="16"/>
    </row>
    <row r="52" spans="1:19" x14ac:dyDescent="0.3">
      <c r="A52" s="16"/>
      <c r="B52" s="16"/>
      <c r="C52" s="16"/>
      <c r="D52" s="16"/>
      <c r="E52" s="16"/>
      <c r="F52" s="16"/>
      <c r="G52" s="16"/>
      <c r="H52" s="16"/>
      <c r="I52" s="17" t="str">
        <f t="shared" si="0"/>
        <v/>
      </c>
      <c r="J52" s="17" t="str">
        <f t="shared" si="1"/>
        <v/>
      </c>
      <c r="K52" s="17" t="str">
        <f>IF(I52="","",IF(I52&lt;=Скали!$B$1,"да","не"))</f>
        <v/>
      </c>
      <c r="L52" s="16"/>
      <c r="M52" s="16"/>
      <c r="N52" s="16"/>
      <c r="O52" s="16"/>
      <c r="P52" s="16"/>
      <c r="Q52" s="16"/>
      <c r="R52" s="17" t="str">
        <f t="shared" si="2"/>
        <v/>
      </c>
      <c r="S52" s="16"/>
    </row>
    <row r="53" spans="1:19" x14ac:dyDescent="0.3">
      <c r="A53" s="16"/>
      <c r="B53" s="16"/>
      <c r="C53" s="16"/>
      <c r="D53" s="16"/>
      <c r="E53" s="16"/>
      <c r="F53" s="16"/>
      <c r="G53" s="16"/>
      <c r="H53" s="16"/>
      <c r="I53" s="17" t="str">
        <f t="shared" si="0"/>
        <v/>
      </c>
      <c r="J53" s="17" t="str">
        <f t="shared" si="1"/>
        <v/>
      </c>
      <c r="K53" s="17" t="str">
        <f>IF(I53="","",IF(I53&lt;=Скали!$B$1,"да","не"))</f>
        <v/>
      </c>
      <c r="L53" s="16"/>
      <c r="M53" s="16"/>
      <c r="N53" s="16"/>
      <c r="O53" s="16"/>
      <c r="P53" s="16"/>
      <c r="Q53" s="16"/>
      <c r="R53" s="17" t="str">
        <f t="shared" si="2"/>
        <v/>
      </c>
      <c r="S53" s="16"/>
    </row>
    <row r="54" spans="1:19" x14ac:dyDescent="0.3">
      <c r="A54" s="16"/>
      <c r="B54" s="16"/>
      <c r="C54" s="16"/>
      <c r="D54" s="16"/>
      <c r="E54" s="16"/>
      <c r="F54" s="16"/>
      <c r="G54" s="16"/>
      <c r="H54" s="16"/>
      <c r="I54" s="17" t="str">
        <f t="shared" si="0"/>
        <v/>
      </c>
      <c r="J54" s="17" t="str">
        <f t="shared" si="1"/>
        <v/>
      </c>
      <c r="K54" s="17" t="str">
        <f>IF(I54="","",IF(I54&lt;=Скали!$B$1,"да","не"))</f>
        <v/>
      </c>
      <c r="L54" s="16"/>
      <c r="M54" s="16"/>
      <c r="N54" s="16"/>
      <c r="O54" s="16"/>
      <c r="P54" s="16"/>
      <c r="Q54" s="16"/>
      <c r="R54" s="17" t="str">
        <f t="shared" si="2"/>
        <v/>
      </c>
      <c r="S54" s="16"/>
    </row>
    <row r="55" spans="1:19" x14ac:dyDescent="0.3">
      <c r="A55" s="16"/>
      <c r="B55" s="16"/>
      <c r="C55" s="16"/>
      <c r="D55" s="16"/>
      <c r="E55" s="16"/>
      <c r="F55" s="16"/>
      <c r="G55" s="16"/>
      <c r="H55" s="16"/>
      <c r="I55" s="17" t="str">
        <f t="shared" si="0"/>
        <v/>
      </c>
      <c r="J55" s="17" t="str">
        <f t="shared" si="1"/>
        <v/>
      </c>
      <c r="K55" s="17" t="str">
        <f>IF(I55="","",IF(I55&lt;=Скали!$B$1,"да","не"))</f>
        <v/>
      </c>
      <c r="L55" s="16"/>
      <c r="M55" s="16"/>
      <c r="N55" s="16"/>
      <c r="O55" s="16"/>
      <c r="P55" s="16"/>
      <c r="Q55" s="16"/>
      <c r="R55" s="17" t="str">
        <f t="shared" si="2"/>
        <v/>
      </c>
      <c r="S55" s="16"/>
    </row>
    <row r="56" spans="1:19" x14ac:dyDescent="0.3">
      <c r="A56" s="16"/>
      <c r="B56" s="16"/>
      <c r="C56" s="16"/>
      <c r="D56" s="16"/>
      <c r="E56" s="16"/>
      <c r="F56" s="16"/>
      <c r="G56" s="16"/>
      <c r="H56" s="16"/>
      <c r="I56" s="17" t="str">
        <f t="shared" si="0"/>
        <v/>
      </c>
      <c r="J56" s="17" t="str">
        <f t="shared" si="1"/>
        <v/>
      </c>
      <c r="K56" s="17" t="str">
        <f>IF(I56="","",IF(I56&lt;=Скали!$B$1,"да","не"))</f>
        <v/>
      </c>
      <c r="L56" s="16"/>
      <c r="M56" s="16"/>
      <c r="N56" s="16"/>
      <c r="O56" s="16"/>
      <c r="P56" s="16"/>
      <c r="Q56" s="16"/>
      <c r="R56" s="17" t="str">
        <f t="shared" si="2"/>
        <v/>
      </c>
      <c r="S56" s="16"/>
    </row>
    <row r="57" spans="1:19" x14ac:dyDescent="0.3">
      <c r="A57" s="16"/>
      <c r="B57" s="16"/>
      <c r="C57" s="16"/>
      <c r="D57" s="16"/>
      <c r="E57" s="16"/>
      <c r="F57" s="16"/>
      <c r="G57" s="16"/>
      <c r="H57" s="16"/>
      <c r="I57" s="17" t="str">
        <f t="shared" si="0"/>
        <v/>
      </c>
      <c r="J57" s="17" t="str">
        <f t="shared" si="1"/>
        <v/>
      </c>
      <c r="K57" s="17" t="str">
        <f>IF(I57="","",IF(I57&lt;=Скали!$B$1,"да","не"))</f>
        <v/>
      </c>
      <c r="L57" s="16"/>
      <c r="M57" s="16"/>
      <c r="N57" s="16"/>
      <c r="O57" s="16"/>
      <c r="P57" s="16"/>
      <c r="Q57" s="16"/>
      <c r="R57" s="17" t="str">
        <f t="shared" si="2"/>
        <v/>
      </c>
      <c r="S57" s="16"/>
    </row>
    <row r="58" spans="1:19" x14ac:dyDescent="0.3">
      <c r="A58" s="16"/>
      <c r="B58" s="16"/>
      <c r="C58" s="16"/>
      <c r="D58" s="16"/>
      <c r="E58" s="16"/>
      <c r="F58" s="16"/>
      <c r="G58" s="16"/>
      <c r="H58" s="16"/>
      <c r="I58" s="17" t="str">
        <f t="shared" si="0"/>
        <v/>
      </c>
      <c r="J58" s="17" t="str">
        <f t="shared" si="1"/>
        <v/>
      </c>
      <c r="K58" s="17" t="str">
        <f>IF(I58="","",IF(I58&lt;=Скали!$B$1,"да","не"))</f>
        <v/>
      </c>
      <c r="L58" s="16"/>
      <c r="M58" s="16"/>
      <c r="N58" s="16"/>
      <c r="O58" s="16"/>
      <c r="P58" s="16"/>
      <c r="Q58" s="16"/>
      <c r="R58" s="17" t="str">
        <f t="shared" si="2"/>
        <v/>
      </c>
      <c r="S58" s="16"/>
    </row>
    <row r="59" spans="1:19" x14ac:dyDescent="0.3">
      <c r="A59" s="16"/>
      <c r="B59" s="16"/>
      <c r="C59" s="16"/>
      <c r="D59" s="16"/>
      <c r="E59" s="16"/>
      <c r="F59" s="16"/>
      <c r="G59" s="16"/>
      <c r="H59" s="16"/>
      <c r="I59" s="17" t="str">
        <f t="shared" si="0"/>
        <v/>
      </c>
      <c r="J59" s="17" t="str">
        <f t="shared" si="1"/>
        <v/>
      </c>
      <c r="K59" s="17" t="str">
        <f>IF(I59="","",IF(I59&lt;=Скали!$B$1,"да","не"))</f>
        <v/>
      </c>
      <c r="L59" s="16"/>
      <c r="M59" s="16"/>
      <c r="N59" s="16"/>
      <c r="O59" s="16"/>
      <c r="P59" s="16"/>
      <c r="Q59" s="16"/>
      <c r="R59" s="17" t="str">
        <f t="shared" si="2"/>
        <v/>
      </c>
      <c r="S59" s="16"/>
    </row>
    <row r="60" spans="1:19" x14ac:dyDescent="0.3">
      <c r="A60" s="16"/>
      <c r="B60" s="16"/>
      <c r="C60" s="16"/>
      <c r="D60" s="16"/>
      <c r="E60" s="16"/>
      <c r="F60" s="16"/>
      <c r="G60" s="16"/>
      <c r="H60" s="16"/>
      <c r="I60" s="17" t="str">
        <f t="shared" si="0"/>
        <v/>
      </c>
      <c r="J60" s="17" t="str">
        <f t="shared" si="1"/>
        <v/>
      </c>
      <c r="K60" s="17" t="str">
        <f>IF(I60="","",IF(I60&lt;=Скали!$B$1,"да","не"))</f>
        <v/>
      </c>
      <c r="L60" s="16"/>
      <c r="M60" s="16"/>
      <c r="N60" s="16"/>
      <c r="O60" s="16"/>
      <c r="P60" s="16"/>
      <c r="Q60" s="16"/>
      <c r="R60" s="17" t="str">
        <f t="shared" si="2"/>
        <v/>
      </c>
      <c r="S60" s="16"/>
    </row>
    <row r="61" spans="1:19" x14ac:dyDescent="0.3">
      <c r="A61" s="16"/>
      <c r="B61" s="16"/>
      <c r="C61" s="16"/>
      <c r="D61" s="16"/>
      <c r="E61" s="16"/>
      <c r="F61" s="16"/>
      <c r="G61" s="16"/>
      <c r="H61" s="16"/>
      <c r="I61" s="17" t="str">
        <f t="shared" si="0"/>
        <v/>
      </c>
      <c r="J61" s="17" t="str">
        <f t="shared" si="1"/>
        <v/>
      </c>
      <c r="K61" s="17" t="str">
        <f>IF(I61="","",IF(I61&lt;=Скали!$B$1,"да","не"))</f>
        <v/>
      </c>
      <c r="L61" s="16"/>
      <c r="M61" s="16"/>
      <c r="N61" s="16"/>
      <c r="O61" s="16"/>
      <c r="P61" s="16"/>
      <c r="Q61" s="16"/>
      <c r="R61" s="17" t="str">
        <f t="shared" si="2"/>
        <v/>
      </c>
      <c r="S61" s="16"/>
    </row>
    <row r="62" spans="1:19" x14ac:dyDescent="0.3">
      <c r="A62" s="16"/>
      <c r="B62" s="16"/>
      <c r="C62" s="16"/>
      <c r="D62" s="16"/>
      <c r="E62" s="16"/>
      <c r="F62" s="16"/>
      <c r="G62" s="16"/>
      <c r="H62" s="16"/>
      <c r="I62" s="17" t="str">
        <f t="shared" si="0"/>
        <v/>
      </c>
      <c r="J62" s="17" t="str">
        <f t="shared" si="1"/>
        <v/>
      </c>
      <c r="K62" s="17" t="str">
        <f>IF(I62="","",IF(I62&lt;=Скали!$B$1,"да","не"))</f>
        <v/>
      </c>
      <c r="L62" s="16"/>
      <c r="M62" s="16"/>
      <c r="N62" s="16"/>
      <c r="O62" s="16"/>
      <c r="P62" s="16"/>
      <c r="Q62" s="16"/>
      <c r="R62" s="17" t="str">
        <f t="shared" si="2"/>
        <v/>
      </c>
      <c r="S62" s="16"/>
    </row>
    <row r="63" spans="1:19" x14ac:dyDescent="0.3">
      <c r="A63" s="16"/>
      <c r="B63" s="16"/>
      <c r="C63" s="16"/>
      <c r="D63" s="16"/>
      <c r="E63" s="16"/>
      <c r="F63" s="16"/>
      <c r="G63" s="16"/>
      <c r="H63" s="16"/>
      <c r="I63" s="17" t="str">
        <f t="shared" si="0"/>
        <v/>
      </c>
      <c r="J63" s="17" t="str">
        <f t="shared" si="1"/>
        <v/>
      </c>
      <c r="K63" s="17" t="str">
        <f>IF(I63="","",IF(I63&lt;=Скали!$B$1,"да","не"))</f>
        <v/>
      </c>
      <c r="L63" s="16"/>
      <c r="M63" s="16"/>
      <c r="N63" s="16"/>
      <c r="O63" s="16"/>
      <c r="P63" s="16"/>
      <c r="Q63" s="16"/>
      <c r="R63" s="17" t="str">
        <f t="shared" si="2"/>
        <v/>
      </c>
      <c r="S63" s="16"/>
    </row>
    <row r="64" spans="1:19" x14ac:dyDescent="0.3">
      <c r="A64" s="16"/>
      <c r="B64" s="16"/>
      <c r="C64" s="16"/>
      <c r="D64" s="16"/>
      <c r="E64" s="16"/>
      <c r="F64" s="16"/>
      <c r="G64" s="16"/>
      <c r="H64" s="16"/>
      <c r="I64" s="17" t="str">
        <f t="shared" si="0"/>
        <v/>
      </c>
      <c r="J64" s="17" t="str">
        <f t="shared" si="1"/>
        <v/>
      </c>
      <c r="K64" s="17" t="str">
        <f>IF(I64="","",IF(I64&lt;=Скали!$B$1,"да","не"))</f>
        <v/>
      </c>
      <c r="L64" s="16"/>
      <c r="M64" s="16"/>
      <c r="N64" s="16"/>
      <c r="O64" s="16"/>
      <c r="P64" s="16"/>
      <c r="Q64" s="16"/>
      <c r="R64" s="17" t="str">
        <f t="shared" si="2"/>
        <v/>
      </c>
      <c r="S64" s="16"/>
    </row>
    <row r="65" spans="1:19" x14ac:dyDescent="0.3">
      <c r="A65" s="16"/>
      <c r="B65" s="16"/>
      <c r="C65" s="16"/>
      <c r="D65" s="16"/>
      <c r="E65" s="16"/>
      <c r="F65" s="16"/>
      <c r="G65" s="16"/>
      <c r="H65" s="16"/>
      <c r="I65" s="17" t="str">
        <f t="shared" si="0"/>
        <v/>
      </c>
      <c r="J65" s="17" t="str">
        <f t="shared" si="1"/>
        <v/>
      </c>
      <c r="K65" s="17" t="str">
        <f>IF(I65="","",IF(I65&lt;=Скали!$B$1,"да","не"))</f>
        <v/>
      </c>
      <c r="L65" s="16"/>
      <c r="M65" s="16"/>
      <c r="N65" s="16"/>
      <c r="O65" s="16"/>
      <c r="P65" s="16"/>
      <c r="Q65" s="16"/>
      <c r="R65" s="17" t="str">
        <f t="shared" si="2"/>
        <v/>
      </c>
      <c r="S65" s="16"/>
    </row>
    <row r="66" spans="1:19" x14ac:dyDescent="0.3">
      <c r="A66" s="16"/>
      <c r="B66" s="16"/>
      <c r="C66" s="16"/>
      <c r="D66" s="16"/>
      <c r="E66" s="16"/>
      <c r="F66" s="16"/>
      <c r="G66" s="16"/>
      <c r="H66" s="16"/>
      <c r="I66" s="17" t="str">
        <f t="shared" ref="I66:I129" si="3">IF(OR(G66="",H66=""),"",G66*H66)</f>
        <v/>
      </c>
      <c r="J66" s="17" t="str">
        <f t="shared" ref="J66:J129" si="4">IF(I66="","",IF(I66&lt;=4,"нисък",IF(I66&lt;=9,"умерен",IF(I66&lt;=15,"висок","критичен"))))</f>
        <v/>
      </c>
      <c r="K66" s="17" t="str">
        <f>IF(I66="","",IF(I66&lt;=Скали!$B$1,"да","не"))</f>
        <v/>
      </c>
      <c r="L66" s="16"/>
      <c r="M66" s="16"/>
      <c r="N66" s="16"/>
      <c r="O66" s="16"/>
      <c r="P66" s="16"/>
      <c r="Q66" s="16"/>
      <c r="R66" s="17" t="str">
        <f t="shared" ref="R66:R129" si="5">IF(OR(P66="",Q66=""),"",P66*Q66)</f>
        <v/>
      </c>
      <c r="S66" s="16"/>
    </row>
    <row r="67" spans="1:19" x14ac:dyDescent="0.3">
      <c r="A67" s="16"/>
      <c r="B67" s="16"/>
      <c r="C67" s="16"/>
      <c r="D67" s="16"/>
      <c r="E67" s="16"/>
      <c r="F67" s="16"/>
      <c r="G67" s="16"/>
      <c r="H67" s="16"/>
      <c r="I67" s="17" t="str">
        <f t="shared" si="3"/>
        <v/>
      </c>
      <c r="J67" s="17" t="str">
        <f t="shared" si="4"/>
        <v/>
      </c>
      <c r="K67" s="17" t="str">
        <f>IF(I67="","",IF(I67&lt;=Скали!$B$1,"да","не"))</f>
        <v/>
      </c>
      <c r="L67" s="16"/>
      <c r="M67" s="16"/>
      <c r="N67" s="16"/>
      <c r="O67" s="16"/>
      <c r="P67" s="16"/>
      <c r="Q67" s="16"/>
      <c r="R67" s="17" t="str">
        <f t="shared" si="5"/>
        <v/>
      </c>
      <c r="S67" s="16"/>
    </row>
    <row r="68" spans="1:19" x14ac:dyDescent="0.3">
      <c r="A68" s="16"/>
      <c r="B68" s="16"/>
      <c r="C68" s="16"/>
      <c r="D68" s="16"/>
      <c r="E68" s="16"/>
      <c r="F68" s="16"/>
      <c r="G68" s="16"/>
      <c r="H68" s="16"/>
      <c r="I68" s="17" t="str">
        <f t="shared" si="3"/>
        <v/>
      </c>
      <c r="J68" s="17" t="str">
        <f t="shared" si="4"/>
        <v/>
      </c>
      <c r="K68" s="17" t="str">
        <f>IF(I68="","",IF(I68&lt;=Скали!$B$1,"да","не"))</f>
        <v/>
      </c>
      <c r="L68" s="16"/>
      <c r="M68" s="16"/>
      <c r="N68" s="16"/>
      <c r="O68" s="16"/>
      <c r="P68" s="16"/>
      <c r="Q68" s="16"/>
      <c r="R68" s="17" t="str">
        <f t="shared" si="5"/>
        <v/>
      </c>
      <c r="S68" s="16"/>
    </row>
    <row r="69" spans="1:19" x14ac:dyDescent="0.3">
      <c r="A69" s="16"/>
      <c r="B69" s="16"/>
      <c r="C69" s="16"/>
      <c r="D69" s="16"/>
      <c r="E69" s="16"/>
      <c r="F69" s="16"/>
      <c r="G69" s="16"/>
      <c r="H69" s="16"/>
      <c r="I69" s="17" t="str">
        <f t="shared" si="3"/>
        <v/>
      </c>
      <c r="J69" s="17" t="str">
        <f t="shared" si="4"/>
        <v/>
      </c>
      <c r="K69" s="17" t="str">
        <f>IF(I69="","",IF(I69&lt;=Скали!$B$1,"да","не"))</f>
        <v/>
      </c>
      <c r="L69" s="16"/>
      <c r="M69" s="16"/>
      <c r="N69" s="16"/>
      <c r="O69" s="16"/>
      <c r="P69" s="16"/>
      <c r="Q69" s="16"/>
      <c r="R69" s="17" t="str">
        <f t="shared" si="5"/>
        <v/>
      </c>
      <c r="S69" s="16"/>
    </row>
    <row r="70" spans="1:19" x14ac:dyDescent="0.3">
      <c r="A70" s="16"/>
      <c r="B70" s="16"/>
      <c r="C70" s="16"/>
      <c r="D70" s="16"/>
      <c r="E70" s="16"/>
      <c r="F70" s="16"/>
      <c r="G70" s="16"/>
      <c r="H70" s="16"/>
      <c r="I70" s="17" t="str">
        <f t="shared" si="3"/>
        <v/>
      </c>
      <c r="J70" s="17" t="str">
        <f t="shared" si="4"/>
        <v/>
      </c>
      <c r="K70" s="17" t="str">
        <f>IF(I70="","",IF(I70&lt;=Скали!$B$1,"да","не"))</f>
        <v/>
      </c>
      <c r="L70" s="16"/>
      <c r="M70" s="16"/>
      <c r="N70" s="16"/>
      <c r="O70" s="16"/>
      <c r="P70" s="16"/>
      <c r="Q70" s="16"/>
      <c r="R70" s="17" t="str">
        <f t="shared" si="5"/>
        <v/>
      </c>
      <c r="S70" s="16"/>
    </row>
    <row r="71" spans="1:19" x14ac:dyDescent="0.3">
      <c r="A71" s="16"/>
      <c r="B71" s="16"/>
      <c r="C71" s="16"/>
      <c r="D71" s="16"/>
      <c r="E71" s="16"/>
      <c r="F71" s="16"/>
      <c r="G71" s="16"/>
      <c r="H71" s="16"/>
      <c r="I71" s="17" t="str">
        <f t="shared" si="3"/>
        <v/>
      </c>
      <c r="J71" s="17" t="str">
        <f t="shared" si="4"/>
        <v/>
      </c>
      <c r="K71" s="17" t="str">
        <f>IF(I71="","",IF(I71&lt;=Скали!$B$1,"да","не"))</f>
        <v/>
      </c>
      <c r="L71" s="16"/>
      <c r="M71" s="16"/>
      <c r="N71" s="16"/>
      <c r="O71" s="16"/>
      <c r="P71" s="16"/>
      <c r="Q71" s="16"/>
      <c r="R71" s="17" t="str">
        <f t="shared" si="5"/>
        <v/>
      </c>
      <c r="S71" s="16"/>
    </row>
    <row r="72" spans="1:19" x14ac:dyDescent="0.3">
      <c r="A72" s="16"/>
      <c r="B72" s="16"/>
      <c r="C72" s="16"/>
      <c r="D72" s="16"/>
      <c r="E72" s="16"/>
      <c r="F72" s="16"/>
      <c r="G72" s="16"/>
      <c r="H72" s="16"/>
      <c r="I72" s="17" t="str">
        <f t="shared" si="3"/>
        <v/>
      </c>
      <c r="J72" s="17" t="str">
        <f t="shared" si="4"/>
        <v/>
      </c>
      <c r="K72" s="17" t="str">
        <f>IF(I72="","",IF(I72&lt;=Скали!$B$1,"да","не"))</f>
        <v/>
      </c>
      <c r="L72" s="16"/>
      <c r="M72" s="16"/>
      <c r="N72" s="16"/>
      <c r="O72" s="16"/>
      <c r="P72" s="16"/>
      <c r="Q72" s="16"/>
      <c r="R72" s="17" t="str">
        <f t="shared" si="5"/>
        <v/>
      </c>
      <c r="S72" s="16"/>
    </row>
    <row r="73" spans="1:19" x14ac:dyDescent="0.3">
      <c r="A73" s="16"/>
      <c r="B73" s="16"/>
      <c r="C73" s="16"/>
      <c r="D73" s="16"/>
      <c r="E73" s="16"/>
      <c r="F73" s="16"/>
      <c r="G73" s="16"/>
      <c r="H73" s="16"/>
      <c r="I73" s="17" t="str">
        <f t="shared" si="3"/>
        <v/>
      </c>
      <c r="J73" s="17" t="str">
        <f t="shared" si="4"/>
        <v/>
      </c>
      <c r="K73" s="17" t="str">
        <f>IF(I73="","",IF(I73&lt;=Скали!$B$1,"да","не"))</f>
        <v/>
      </c>
      <c r="L73" s="16"/>
      <c r="M73" s="16"/>
      <c r="N73" s="16"/>
      <c r="O73" s="16"/>
      <c r="P73" s="16"/>
      <c r="Q73" s="16"/>
      <c r="R73" s="17" t="str">
        <f t="shared" si="5"/>
        <v/>
      </c>
      <c r="S73" s="16"/>
    </row>
    <row r="74" spans="1:19" x14ac:dyDescent="0.3">
      <c r="A74" s="16"/>
      <c r="B74" s="16"/>
      <c r="C74" s="16"/>
      <c r="D74" s="16"/>
      <c r="E74" s="16"/>
      <c r="F74" s="16"/>
      <c r="G74" s="16"/>
      <c r="H74" s="16"/>
      <c r="I74" s="17" t="str">
        <f t="shared" si="3"/>
        <v/>
      </c>
      <c r="J74" s="17" t="str">
        <f t="shared" si="4"/>
        <v/>
      </c>
      <c r="K74" s="17" t="str">
        <f>IF(I74="","",IF(I74&lt;=Скали!$B$1,"да","не"))</f>
        <v/>
      </c>
      <c r="L74" s="16"/>
      <c r="M74" s="16"/>
      <c r="N74" s="16"/>
      <c r="O74" s="16"/>
      <c r="P74" s="16"/>
      <c r="Q74" s="16"/>
      <c r="R74" s="17" t="str">
        <f t="shared" si="5"/>
        <v/>
      </c>
      <c r="S74" s="16"/>
    </row>
    <row r="75" spans="1:19" x14ac:dyDescent="0.3">
      <c r="A75" s="16"/>
      <c r="B75" s="16"/>
      <c r="C75" s="16"/>
      <c r="D75" s="16"/>
      <c r="E75" s="16"/>
      <c r="F75" s="16"/>
      <c r="G75" s="16"/>
      <c r="H75" s="16"/>
      <c r="I75" s="17" t="str">
        <f t="shared" si="3"/>
        <v/>
      </c>
      <c r="J75" s="17" t="str">
        <f t="shared" si="4"/>
        <v/>
      </c>
      <c r="K75" s="17" t="str">
        <f>IF(I75="","",IF(I75&lt;=Скали!$B$1,"да","не"))</f>
        <v/>
      </c>
      <c r="L75" s="16"/>
      <c r="M75" s="16"/>
      <c r="N75" s="16"/>
      <c r="O75" s="16"/>
      <c r="P75" s="16"/>
      <c r="Q75" s="16"/>
      <c r="R75" s="17" t="str">
        <f t="shared" si="5"/>
        <v/>
      </c>
      <c r="S75" s="16"/>
    </row>
    <row r="76" spans="1:19" x14ac:dyDescent="0.3">
      <c r="A76" s="16"/>
      <c r="B76" s="16"/>
      <c r="C76" s="16"/>
      <c r="D76" s="16"/>
      <c r="E76" s="16"/>
      <c r="F76" s="16"/>
      <c r="G76" s="16"/>
      <c r="H76" s="16"/>
      <c r="I76" s="17" t="str">
        <f t="shared" si="3"/>
        <v/>
      </c>
      <c r="J76" s="17" t="str">
        <f t="shared" si="4"/>
        <v/>
      </c>
      <c r="K76" s="17" t="str">
        <f>IF(I76="","",IF(I76&lt;=Скали!$B$1,"да","не"))</f>
        <v/>
      </c>
      <c r="L76" s="16"/>
      <c r="M76" s="16"/>
      <c r="N76" s="16"/>
      <c r="O76" s="16"/>
      <c r="P76" s="16"/>
      <c r="Q76" s="16"/>
      <c r="R76" s="17" t="str">
        <f t="shared" si="5"/>
        <v/>
      </c>
      <c r="S76" s="16"/>
    </row>
    <row r="77" spans="1:19" x14ac:dyDescent="0.3">
      <c r="A77" s="16"/>
      <c r="B77" s="16"/>
      <c r="C77" s="16"/>
      <c r="D77" s="16"/>
      <c r="E77" s="16"/>
      <c r="F77" s="16"/>
      <c r="G77" s="16"/>
      <c r="H77" s="16"/>
      <c r="I77" s="17" t="str">
        <f t="shared" si="3"/>
        <v/>
      </c>
      <c r="J77" s="17" t="str">
        <f t="shared" si="4"/>
        <v/>
      </c>
      <c r="K77" s="17" t="str">
        <f>IF(I77="","",IF(I77&lt;=Скали!$B$1,"да","не"))</f>
        <v/>
      </c>
      <c r="L77" s="16"/>
      <c r="M77" s="16"/>
      <c r="N77" s="16"/>
      <c r="O77" s="16"/>
      <c r="P77" s="16"/>
      <c r="Q77" s="16"/>
      <c r="R77" s="17" t="str">
        <f t="shared" si="5"/>
        <v/>
      </c>
      <c r="S77" s="16"/>
    </row>
    <row r="78" spans="1:19" x14ac:dyDescent="0.3">
      <c r="A78" s="16"/>
      <c r="B78" s="16"/>
      <c r="C78" s="16"/>
      <c r="D78" s="16"/>
      <c r="E78" s="16"/>
      <c r="F78" s="16"/>
      <c r="G78" s="16"/>
      <c r="H78" s="16"/>
      <c r="I78" s="17" t="str">
        <f t="shared" si="3"/>
        <v/>
      </c>
      <c r="J78" s="17" t="str">
        <f t="shared" si="4"/>
        <v/>
      </c>
      <c r="K78" s="17" t="str">
        <f>IF(I78="","",IF(I78&lt;=Скали!$B$1,"да","не"))</f>
        <v/>
      </c>
      <c r="L78" s="16"/>
      <c r="M78" s="16"/>
      <c r="N78" s="16"/>
      <c r="O78" s="16"/>
      <c r="P78" s="16"/>
      <c r="Q78" s="16"/>
      <c r="R78" s="17" t="str">
        <f t="shared" si="5"/>
        <v/>
      </c>
      <c r="S78" s="16"/>
    </row>
    <row r="79" spans="1:19" x14ac:dyDescent="0.3">
      <c r="A79" s="16"/>
      <c r="B79" s="16"/>
      <c r="C79" s="16"/>
      <c r="D79" s="16"/>
      <c r="E79" s="16"/>
      <c r="F79" s="16"/>
      <c r="G79" s="16"/>
      <c r="H79" s="16"/>
      <c r="I79" s="17" t="str">
        <f t="shared" si="3"/>
        <v/>
      </c>
      <c r="J79" s="17" t="str">
        <f t="shared" si="4"/>
        <v/>
      </c>
      <c r="K79" s="17" t="str">
        <f>IF(I79="","",IF(I79&lt;=Скали!$B$1,"да","не"))</f>
        <v/>
      </c>
      <c r="L79" s="16"/>
      <c r="M79" s="16"/>
      <c r="N79" s="16"/>
      <c r="O79" s="16"/>
      <c r="P79" s="16"/>
      <c r="Q79" s="16"/>
      <c r="R79" s="17" t="str">
        <f t="shared" si="5"/>
        <v/>
      </c>
      <c r="S79" s="16"/>
    </row>
    <row r="80" spans="1:19" x14ac:dyDescent="0.3">
      <c r="A80" s="16"/>
      <c r="B80" s="16"/>
      <c r="C80" s="16"/>
      <c r="D80" s="16"/>
      <c r="E80" s="16"/>
      <c r="F80" s="16"/>
      <c r="G80" s="16"/>
      <c r="H80" s="16"/>
      <c r="I80" s="17" t="str">
        <f t="shared" si="3"/>
        <v/>
      </c>
      <c r="J80" s="17" t="str">
        <f t="shared" si="4"/>
        <v/>
      </c>
      <c r="K80" s="17" t="str">
        <f>IF(I80="","",IF(I80&lt;=Скали!$B$1,"да","не"))</f>
        <v/>
      </c>
      <c r="L80" s="16"/>
      <c r="M80" s="16"/>
      <c r="N80" s="16"/>
      <c r="O80" s="16"/>
      <c r="P80" s="16"/>
      <c r="Q80" s="16"/>
      <c r="R80" s="17" t="str">
        <f t="shared" si="5"/>
        <v/>
      </c>
      <c r="S80" s="16"/>
    </row>
    <row r="81" spans="1:19" x14ac:dyDescent="0.3">
      <c r="A81" s="16"/>
      <c r="B81" s="16"/>
      <c r="C81" s="16"/>
      <c r="D81" s="16"/>
      <c r="E81" s="16"/>
      <c r="F81" s="16"/>
      <c r="G81" s="16"/>
      <c r="H81" s="16"/>
      <c r="I81" s="17" t="str">
        <f t="shared" si="3"/>
        <v/>
      </c>
      <c r="J81" s="17" t="str">
        <f t="shared" si="4"/>
        <v/>
      </c>
      <c r="K81" s="17" t="str">
        <f>IF(I81="","",IF(I81&lt;=Скали!$B$1,"да","не"))</f>
        <v/>
      </c>
      <c r="L81" s="16"/>
      <c r="M81" s="16"/>
      <c r="N81" s="16"/>
      <c r="O81" s="16"/>
      <c r="P81" s="16"/>
      <c r="Q81" s="16"/>
      <c r="R81" s="17" t="str">
        <f t="shared" si="5"/>
        <v/>
      </c>
      <c r="S81" s="16"/>
    </row>
    <row r="82" spans="1:19" x14ac:dyDescent="0.3">
      <c r="A82" s="16"/>
      <c r="B82" s="16"/>
      <c r="C82" s="16"/>
      <c r="D82" s="16"/>
      <c r="E82" s="16"/>
      <c r="F82" s="16"/>
      <c r="G82" s="16"/>
      <c r="H82" s="16"/>
      <c r="I82" s="17" t="str">
        <f t="shared" si="3"/>
        <v/>
      </c>
      <c r="J82" s="17" t="str">
        <f t="shared" si="4"/>
        <v/>
      </c>
      <c r="K82" s="17" t="str">
        <f>IF(I82="","",IF(I82&lt;=Скали!$B$1,"да","не"))</f>
        <v/>
      </c>
      <c r="L82" s="16"/>
      <c r="M82" s="16"/>
      <c r="N82" s="16"/>
      <c r="O82" s="16"/>
      <c r="P82" s="16"/>
      <c r="Q82" s="16"/>
      <c r="R82" s="17" t="str">
        <f t="shared" si="5"/>
        <v/>
      </c>
      <c r="S82" s="16"/>
    </row>
    <row r="83" spans="1:19" x14ac:dyDescent="0.3">
      <c r="A83" s="16"/>
      <c r="B83" s="16"/>
      <c r="C83" s="16"/>
      <c r="D83" s="16"/>
      <c r="E83" s="16"/>
      <c r="F83" s="16"/>
      <c r="G83" s="16"/>
      <c r="H83" s="16"/>
      <c r="I83" s="17" t="str">
        <f t="shared" si="3"/>
        <v/>
      </c>
      <c r="J83" s="17" t="str">
        <f t="shared" si="4"/>
        <v/>
      </c>
      <c r="K83" s="17" t="str">
        <f>IF(I83="","",IF(I83&lt;=Скали!$B$1,"да","не"))</f>
        <v/>
      </c>
      <c r="L83" s="16"/>
      <c r="M83" s="16"/>
      <c r="N83" s="16"/>
      <c r="O83" s="16"/>
      <c r="P83" s="16"/>
      <c r="Q83" s="16"/>
      <c r="R83" s="17" t="str">
        <f t="shared" si="5"/>
        <v/>
      </c>
      <c r="S83" s="16"/>
    </row>
    <row r="84" spans="1:19" x14ac:dyDescent="0.3">
      <c r="A84" s="16"/>
      <c r="B84" s="16"/>
      <c r="C84" s="16"/>
      <c r="D84" s="16"/>
      <c r="E84" s="16"/>
      <c r="F84" s="16"/>
      <c r="G84" s="16"/>
      <c r="H84" s="16"/>
      <c r="I84" s="17" t="str">
        <f t="shared" si="3"/>
        <v/>
      </c>
      <c r="J84" s="17" t="str">
        <f t="shared" si="4"/>
        <v/>
      </c>
      <c r="K84" s="17" t="str">
        <f>IF(I84="","",IF(I84&lt;=Скали!$B$1,"да","не"))</f>
        <v/>
      </c>
      <c r="L84" s="16"/>
      <c r="M84" s="16"/>
      <c r="N84" s="16"/>
      <c r="O84" s="16"/>
      <c r="P84" s="16"/>
      <c r="Q84" s="16"/>
      <c r="R84" s="17" t="str">
        <f t="shared" si="5"/>
        <v/>
      </c>
      <c r="S84" s="16"/>
    </row>
    <row r="85" spans="1:19" x14ac:dyDescent="0.3">
      <c r="A85" s="16"/>
      <c r="B85" s="16"/>
      <c r="C85" s="16"/>
      <c r="D85" s="16"/>
      <c r="E85" s="16"/>
      <c r="F85" s="16"/>
      <c r="G85" s="16"/>
      <c r="H85" s="16"/>
      <c r="I85" s="17" t="str">
        <f t="shared" si="3"/>
        <v/>
      </c>
      <c r="J85" s="17" t="str">
        <f t="shared" si="4"/>
        <v/>
      </c>
      <c r="K85" s="17" t="str">
        <f>IF(I85="","",IF(I85&lt;=Скали!$B$1,"да","не"))</f>
        <v/>
      </c>
      <c r="L85" s="16"/>
      <c r="M85" s="16"/>
      <c r="N85" s="16"/>
      <c r="O85" s="16"/>
      <c r="P85" s="16"/>
      <c r="Q85" s="16"/>
      <c r="R85" s="17" t="str">
        <f t="shared" si="5"/>
        <v/>
      </c>
      <c r="S85" s="16"/>
    </row>
    <row r="86" spans="1:19" x14ac:dyDescent="0.3">
      <c r="A86" s="16"/>
      <c r="B86" s="16"/>
      <c r="C86" s="16"/>
      <c r="D86" s="16"/>
      <c r="E86" s="16"/>
      <c r="F86" s="16"/>
      <c r="G86" s="16"/>
      <c r="H86" s="16"/>
      <c r="I86" s="17" t="str">
        <f t="shared" si="3"/>
        <v/>
      </c>
      <c r="J86" s="17" t="str">
        <f t="shared" si="4"/>
        <v/>
      </c>
      <c r="K86" s="17" t="str">
        <f>IF(I86="","",IF(I86&lt;=Скали!$B$1,"да","не"))</f>
        <v/>
      </c>
      <c r="L86" s="16"/>
      <c r="M86" s="16"/>
      <c r="N86" s="16"/>
      <c r="O86" s="16"/>
      <c r="P86" s="16"/>
      <c r="Q86" s="16"/>
      <c r="R86" s="17" t="str">
        <f t="shared" si="5"/>
        <v/>
      </c>
      <c r="S86" s="16"/>
    </row>
    <row r="87" spans="1:19" x14ac:dyDescent="0.3">
      <c r="A87" s="16"/>
      <c r="B87" s="16"/>
      <c r="C87" s="16"/>
      <c r="D87" s="16"/>
      <c r="E87" s="16"/>
      <c r="F87" s="16"/>
      <c r="G87" s="16"/>
      <c r="H87" s="16"/>
      <c r="I87" s="17" t="str">
        <f t="shared" si="3"/>
        <v/>
      </c>
      <c r="J87" s="17" t="str">
        <f t="shared" si="4"/>
        <v/>
      </c>
      <c r="K87" s="17" t="str">
        <f>IF(I87="","",IF(I87&lt;=Скали!$B$1,"да","не"))</f>
        <v/>
      </c>
      <c r="L87" s="16"/>
      <c r="M87" s="16"/>
      <c r="N87" s="16"/>
      <c r="O87" s="16"/>
      <c r="P87" s="16"/>
      <c r="Q87" s="16"/>
      <c r="R87" s="17" t="str">
        <f t="shared" si="5"/>
        <v/>
      </c>
      <c r="S87" s="16"/>
    </row>
    <row r="88" spans="1:19" x14ac:dyDescent="0.3">
      <c r="A88" s="16"/>
      <c r="B88" s="16"/>
      <c r="C88" s="16"/>
      <c r="D88" s="16"/>
      <c r="E88" s="16"/>
      <c r="F88" s="16"/>
      <c r="G88" s="16"/>
      <c r="H88" s="16"/>
      <c r="I88" s="17" t="str">
        <f t="shared" si="3"/>
        <v/>
      </c>
      <c r="J88" s="17" t="str">
        <f t="shared" si="4"/>
        <v/>
      </c>
      <c r="K88" s="17" t="str">
        <f>IF(I88="","",IF(I88&lt;=Скали!$B$1,"да","не"))</f>
        <v/>
      </c>
      <c r="L88" s="16"/>
      <c r="M88" s="16"/>
      <c r="N88" s="16"/>
      <c r="O88" s="16"/>
      <c r="P88" s="16"/>
      <c r="Q88" s="16"/>
      <c r="R88" s="17" t="str">
        <f t="shared" si="5"/>
        <v/>
      </c>
      <c r="S88" s="16"/>
    </row>
    <row r="89" spans="1:19" x14ac:dyDescent="0.3">
      <c r="A89" s="16"/>
      <c r="B89" s="16"/>
      <c r="C89" s="16"/>
      <c r="D89" s="16"/>
      <c r="E89" s="16"/>
      <c r="F89" s="16"/>
      <c r="G89" s="16"/>
      <c r="H89" s="16"/>
      <c r="I89" s="17" t="str">
        <f t="shared" si="3"/>
        <v/>
      </c>
      <c r="J89" s="17" t="str">
        <f t="shared" si="4"/>
        <v/>
      </c>
      <c r="K89" s="17" t="str">
        <f>IF(I89="","",IF(I89&lt;=Скали!$B$1,"да","не"))</f>
        <v/>
      </c>
      <c r="L89" s="16"/>
      <c r="M89" s="16"/>
      <c r="N89" s="16"/>
      <c r="O89" s="16"/>
      <c r="P89" s="16"/>
      <c r="Q89" s="16"/>
      <c r="R89" s="17" t="str">
        <f t="shared" si="5"/>
        <v/>
      </c>
      <c r="S89" s="16"/>
    </row>
    <row r="90" spans="1:19" x14ac:dyDescent="0.3">
      <c r="A90" s="16"/>
      <c r="B90" s="16"/>
      <c r="C90" s="16"/>
      <c r="D90" s="16"/>
      <c r="E90" s="16"/>
      <c r="F90" s="16"/>
      <c r="G90" s="16"/>
      <c r="H90" s="16"/>
      <c r="I90" s="17" t="str">
        <f t="shared" si="3"/>
        <v/>
      </c>
      <c r="J90" s="17" t="str">
        <f t="shared" si="4"/>
        <v/>
      </c>
      <c r="K90" s="17" t="str">
        <f>IF(I90="","",IF(I90&lt;=Скали!$B$1,"да","не"))</f>
        <v/>
      </c>
      <c r="L90" s="16"/>
      <c r="M90" s="16"/>
      <c r="N90" s="16"/>
      <c r="O90" s="16"/>
      <c r="P90" s="16"/>
      <c r="Q90" s="16"/>
      <c r="R90" s="17" t="str">
        <f t="shared" si="5"/>
        <v/>
      </c>
      <c r="S90" s="16"/>
    </row>
    <row r="91" spans="1:19" x14ac:dyDescent="0.3">
      <c r="A91" s="16"/>
      <c r="B91" s="16"/>
      <c r="C91" s="16"/>
      <c r="D91" s="16"/>
      <c r="E91" s="16"/>
      <c r="F91" s="16"/>
      <c r="G91" s="16"/>
      <c r="H91" s="16"/>
      <c r="I91" s="17" t="str">
        <f t="shared" si="3"/>
        <v/>
      </c>
      <c r="J91" s="17" t="str">
        <f t="shared" si="4"/>
        <v/>
      </c>
      <c r="K91" s="17" t="str">
        <f>IF(I91="","",IF(I91&lt;=Скали!$B$1,"да","не"))</f>
        <v/>
      </c>
      <c r="L91" s="16"/>
      <c r="M91" s="16"/>
      <c r="N91" s="16"/>
      <c r="O91" s="16"/>
      <c r="P91" s="16"/>
      <c r="Q91" s="16"/>
      <c r="R91" s="17" t="str">
        <f t="shared" si="5"/>
        <v/>
      </c>
      <c r="S91" s="16"/>
    </row>
    <row r="92" spans="1:19" x14ac:dyDescent="0.3">
      <c r="A92" s="16"/>
      <c r="B92" s="16"/>
      <c r="C92" s="16"/>
      <c r="D92" s="16"/>
      <c r="E92" s="16"/>
      <c r="F92" s="16"/>
      <c r="G92" s="16"/>
      <c r="H92" s="16"/>
      <c r="I92" s="17" t="str">
        <f t="shared" si="3"/>
        <v/>
      </c>
      <c r="J92" s="17" t="str">
        <f t="shared" si="4"/>
        <v/>
      </c>
      <c r="K92" s="17" t="str">
        <f>IF(I92="","",IF(I92&lt;=Скали!$B$1,"да","не"))</f>
        <v/>
      </c>
      <c r="L92" s="16"/>
      <c r="M92" s="16"/>
      <c r="N92" s="16"/>
      <c r="O92" s="16"/>
      <c r="P92" s="16"/>
      <c r="Q92" s="16"/>
      <c r="R92" s="17" t="str">
        <f t="shared" si="5"/>
        <v/>
      </c>
      <c r="S92" s="16"/>
    </row>
    <row r="93" spans="1:19" x14ac:dyDescent="0.3">
      <c r="A93" s="16"/>
      <c r="B93" s="16"/>
      <c r="C93" s="16"/>
      <c r="D93" s="16"/>
      <c r="E93" s="16"/>
      <c r="F93" s="16"/>
      <c r="G93" s="16"/>
      <c r="H93" s="16"/>
      <c r="I93" s="17" t="str">
        <f t="shared" si="3"/>
        <v/>
      </c>
      <c r="J93" s="17" t="str">
        <f t="shared" si="4"/>
        <v/>
      </c>
      <c r="K93" s="17" t="str">
        <f>IF(I93="","",IF(I93&lt;=Скали!$B$1,"да","не"))</f>
        <v/>
      </c>
      <c r="L93" s="16"/>
      <c r="M93" s="16"/>
      <c r="N93" s="16"/>
      <c r="O93" s="16"/>
      <c r="P93" s="16"/>
      <c r="Q93" s="16"/>
      <c r="R93" s="17" t="str">
        <f t="shared" si="5"/>
        <v/>
      </c>
      <c r="S93" s="16"/>
    </row>
    <row r="94" spans="1:19" x14ac:dyDescent="0.3">
      <c r="A94" s="16"/>
      <c r="B94" s="16"/>
      <c r="C94" s="16"/>
      <c r="D94" s="16"/>
      <c r="E94" s="16"/>
      <c r="F94" s="16"/>
      <c r="G94" s="16"/>
      <c r="H94" s="16"/>
      <c r="I94" s="17" t="str">
        <f t="shared" si="3"/>
        <v/>
      </c>
      <c r="J94" s="17" t="str">
        <f t="shared" si="4"/>
        <v/>
      </c>
      <c r="K94" s="17" t="str">
        <f>IF(I94="","",IF(I94&lt;=Скали!$B$1,"да","не"))</f>
        <v/>
      </c>
      <c r="L94" s="16"/>
      <c r="M94" s="16"/>
      <c r="N94" s="16"/>
      <c r="O94" s="16"/>
      <c r="P94" s="16"/>
      <c r="Q94" s="16"/>
      <c r="R94" s="17" t="str">
        <f t="shared" si="5"/>
        <v/>
      </c>
      <c r="S94" s="16"/>
    </row>
    <row r="95" spans="1:19" x14ac:dyDescent="0.3">
      <c r="A95" s="16"/>
      <c r="B95" s="16"/>
      <c r="C95" s="16"/>
      <c r="D95" s="16"/>
      <c r="E95" s="16"/>
      <c r="F95" s="16"/>
      <c r="G95" s="16"/>
      <c r="H95" s="16"/>
      <c r="I95" s="17" t="str">
        <f t="shared" si="3"/>
        <v/>
      </c>
      <c r="J95" s="17" t="str">
        <f t="shared" si="4"/>
        <v/>
      </c>
      <c r="K95" s="17" t="str">
        <f>IF(I95="","",IF(I95&lt;=Скали!$B$1,"да","не"))</f>
        <v/>
      </c>
      <c r="L95" s="16"/>
      <c r="M95" s="16"/>
      <c r="N95" s="16"/>
      <c r="O95" s="16"/>
      <c r="P95" s="16"/>
      <c r="Q95" s="16"/>
      <c r="R95" s="17" t="str">
        <f t="shared" si="5"/>
        <v/>
      </c>
      <c r="S95" s="16"/>
    </row>
    <row r="96" spans="1:19" x14ac:dyDescent="0.3">
      <c r="A96" s="16"/>
      <c r="B96" s="16"/>
      <c r="C96" s="16"/>
      <c r="D96" s="16"/>
      <c r="E96" s="16"/>
      <c r="F96" s="16"/>
      <c r="G96" s="16"/>
      <c r="H96" s="16"/>
      <c r="I96" s="17" t="str">
        <f t="shared" si="3"/>
        <v/>
      </c>
      <c r="J96" s="17" t="str">
        <f t="shared" si="4"/>
        <v/>
      </c>
      <c r="K96" s="17" t="str">
        <f>IF(I96="","",IF(I96&lt;=Скали!$B$1,"да","не"))</f>
        <v/>
      </c>
      <c r="L96" s="16"/>
      <c r="M96" s="16"/>
      <c r="N96" s="16"/>
      <c r="O96" s="16"/>
      <c r="P96" s="16"/>
      <c r="Q96" s="16"/>
      <c r="R96" s="17" t="str">
        <f t="shared" si="5"/>
        <v/>
      </c>
      <c r="S96" s="16"/>
    </row>
    <row r="97" spans="1:19" x14ac:dyDescent="0.3">
      <c r="A97" s="16"/>
      <c r="B97" s="16"/>
      <c r="C97" s="16"/>
      <c r="D97" s="16"/>
      <c r="E97" s="16"/>
      <c r="F97" s="16"/>
      <c r="G97" s="16"/>
      <c r="H97" s="16"/>
      <c r="I97" s="17" t="str">
        <f t="shared" si="3"/>
        <v/>
      </c>
      <c r="J97" s="17" t="str">
        <f t="shared" si="4"/>
        <v/>
      </c>
      <c r="K97" s="17" t="str">
        <f>IF(I97="","",IF(I97&lt;=Скали!$B$1,"да","не"))</f>
        <v/>
      </c>
      <c r="L97" s="16"/>
      <c r="M97" s="16"/>
      <c r="N97" s="16"/>
      <c r="O97" s="16"/>
      <c r="P97" s="16"/>
      <c r="Q97" s="16"/>
      <c r="R97" s="17" t="str">
        <f t="shared" si="5"/>
        <v/>
      </c>
      <c r="S97" s="16"/>
    </row>
    <row r="98" spans="1:19" x14ac:dyDescent="0.3">
      <c r="A98" s="16"/>
      <c r="B98" s="16"/>
      <c r="C98" s="16"/>
      <c r="D98" s="16"/>
      <c r="E98" s="16"/>
      <c r="F98" s="16"/>
      <c r="G98" s="16"/>
      <c r="H98" s="16"/>
      <c r="I98" s="17" t="str">
        <f t="shared" si="3"/>
        <v/>
      </c>
      <c r="J98" s="17" t="str">
        <f t="shared" si="4"/>
        <v/>
      </c>
      <c r="K98" s="17" t="str">
        <f>IF(I98="","",IF(I98&lt;=Скали!$B$1,"да","не"))</f>
        <v/>
      </c>
      <c r="L98" s="16"/>
      <c r="M98" s="16"/>
      <c r="N98" s="16"/>
      <c r="O98" s="16"/>
      <c r="P98" s="16"/>
      <c r="Q98" s="16"/>
      <c r="R98" s="17" t="str">
        <f t="shared" si="5"/>
        <v/>
      </c>
      <c r="S98" s="16"/>
    </row>
    <row r="99" spans="1:19" x14ac:dyDescent="0.3">
      <c r="A99" s="16"/>
      <c r="B99" s="16"/>
      <c r="C99" s="16"/>
      <c r="D99" s="16"/>
      <c r="E99" s="16"/>
      <c r="F99" s="16"/>
      <c r="G99" s="16"/>
      <c r="H99" s="16"/>
      <c r="I99" s="17" t="str">
        <f t="shared" si="3"/>
        <v/>
      </c>
      <c r="J99" s="17" t="str">
        <f t="shared" si="4"/>
        <v/>
      </c>
      <c r="K99" s="17" t="str">
        <f>IF(I99="","",IF(I99&lt;=Скали!$B$1,"да","не"))</f>
        <v/>
      </c>
      <c r="L99" s="16"/>
      <c r="M99" s="16"/>
      <c r="N99" s="16"/>
      <c r="O99" s="16"/>
      <c r="P99" s="16"/>
      <c r="Q99" s="16"/>
      <c r="R99" s="17" t="str">
        <f t="shared" si="5"/>
        <v/>
      </c>
      <c r="S99" s="16"/>
    </row>
    <row r="100" spans="1:19" x14ac:dyDescent="0.3">
      <c r="A100" s="16"/>
      <c r="B100" s="16"/>
      <c r="C100" s="16"/>
      <c r="D100" s="16"/>
      <c r="E100" s="16"/>
      <c r="F100" s="16"/>
      <c r="G100" s="16"/>
      <c r="H100" s="16"/>
      <c r="I100" s="17" t="str">
        <f t="shared" si="3"/>
        <v/>
      </c>
      <c r="J100" s="17" t="str">
        <f t="shared" si="4"/>
        <v/>
      </c>
      <c r="K100" s="17" t="str">
        <f>IF(I100="","",IF(I100&lt;=Скали!$B$1,"да","не"))</f>
        <v/>
      </c>
      <c r="L100" s="16"/>
      <c r="M100" s="16"/>
      <c r="N100" s="16"/>
      <c r="O100" s="16"/>
      <c r="P100" s="16"/>
      <c r="Q100" s="16"/>
      <c r="R100" s="17" t="str">
        <f t="shared" si="5"/>
        <v/>
      </c>
      <c r="S100" s="16"/>
    </row>
    <row r="101" spans="1:19" x14ac:dyDescent="0.3">
      <c r="A101" s="16"/>
      <c r="B101" s="16"/>
      <c r="C101" s="16"/>
      <c r="D101" s="16"/>
      <c r="E101" s="16"/>
      <c r="F101" s="16"/>
      <c r="G101" s="16"/>
      <c r="H101" s="16"/>
      <c r="I101" s="17" t="str">
        <f t="shared" si="3"/>
        <v/>
      </c>
      <c r="J101" s="17" t="str">
        <f t="shared" si="4"/>
        <v/>
      </c>
      <c r="K101" s="17" t="str">
        <f>IF(I101="","",IF(I101&lt;=Скали!$B$1,"да","не"))</f>
        <v/>
      </c>
      <c r="L101" s="16"/>
      <c r="M101" s="16"/>
      <c r="N101" s="16"/>
      <c r="O101" s="16"/>
      <c r="P101" s="16"/>
      <c r="Q101" s="16"/>
      <c r="R101" s="17" t="str">
        <f t="shared" si="5"/>
        <v/>
      </c>
      <c r="S101" s="16"/>
    </row>
    <row r="102" spans="1:19" x14ac:dyDescent="0.3">
      <c r="A102" s="16"/>
      <c r="B102" s="16"/>
      <c r="C102" s="16"/>
      <c r="D102" s="16"/>
      <c r="E102" s="16"/>
      <c r="F102" s="16"/>
      <c r="G102" s="16"/>
      <c r="H102" s="16"/>
      <c r="I102" s="17" t="str">
        <f t="shared" si="3"/>
        <v/>
      </c>
      <c r="J102" s="17" t="str">
        <f t="shared" si="4"/>
        <v/>
      </c>
      <c r="K102" s="17" t="str">
        <f>IF(I102="","",IF(I102&lt;=Скали!$B$1,"да","не"))</f>
        <v/>
      </c>
      <c r="L102" s="16"/>
      <c r="M102" s="16"/>
      <c r="N102" s="16"/>
      <c r="O102" s="16"/>
      <c r="P102" s="16"/>
      <c r="Q102" s="16"/>
      <c r="R102" s="17" t="str">
        <f t="shared" si="5"/>
        <v/>
      </c>
      <c r="S102" s="16"/>
    </row>
    <row r="103" spans="1:19" x14ac:dyDescent="0.3">
      <c r="A103" s="16"/>
      <c r="B103" s="16"/>
      <c r="C103" s="16"/>
      <c r="D103" s="16"/>
      <c r="E103" s="16"/>
      <c r="F103" s="16"/>
      <c r="G103" s="16"/>
      <c r="H103" s="16"/>
      <c r="I103" s="17" t="str">
        <f t="shared" si="3"/>
        <v/>
      </c>
      <c r="J103" s="17" t="str">
        <f t="shared" si="4"/>
        <v/>
      </c>
      <c r="K103" s="17" t="str">
        <f>IF(I103="","",IF(I103&lt;=Скали!$B$1,"да","не"))</f>
        <v/>
      </c>
      <c r="L103" s="16"/>
      <c r="M103" s="16"/>
      <c r="N103" s="16"/>
      <c r="O103" s="16"/>
      <c r="P103" s="16"/>
      <c r="Q103" s="16"/>
      <c r="R103" s="17" t="str">
        <f t="shared" si="5"/>
        <v/>
      </c>
      <c r="S103" s="16"/>
    </row>
    <row r="104" spans="1:19" x14ac:dyDescent="0.3">
      <c r="A104" s="16"/>
      <c r="B104" s="16"/>
      <c r="C104" s="16"/>
      <c r="D104" s="16"/>
      <c r="E104" s="16"/>
      <c r="F104" s="16"/>
      <c r="G104" s="16"/>
      <c r="H104" s="16"/>
      <c r="I104" s="17" t="str">
        <f t="shared" si="3"/>
        <v/>
      </c>
      <c r="J104" s="17" t="str">
        <f t="shared" si="4"/>
        <v/>
      </c>
      <c r="K104" s="17" t="str">
        <f>IF(I104="","",IF(I104&lt;=Скали!$B$1,"да","не"))</f>
        <v/>
      </c>
      <c r="L104" s="16"/>
      <c r="M104" s="16"/>
      <c r="N104" s="16"/>
      <c r="O104" s="16"/>
      <c r="P104" s="16"/>
      <c r="Q104" s="16"/>
      <c r="R104" s="17" t="str">
        <f t="shared" si="5"/>
        <v/>
      </c>
      <c r="S104" s="16"/>
    </row>
    <row r="105" spans="1:19" x14ac:dyDescent="0.3">
      <c r="A105" s="16"/>
      <c r="B105" s="16"/>
      <c r="C105" s="16"/>
      <c r="D105" s="16"/>
      <c r="E105" s="16"/>
      <c r="F105" s="16"/>
      <c r="G105" s="16"/>
      <c r="H105" s="16"/>
      <c r="I105" s="17" t="str">
        <f t="shared" si="3"/>
        <v/>
      </c>
      <c r="J105" s="17" t="str">
        <f t="shared" si="4"/>
        <v/>
      </c>
      <c r="K105" s="17" t="str">
        <f>IF(I105="","",IF(I105&lt;=Скали!$B$1,"да","не"))</f>
        <v/>
      </c>
      <c r="L105" s="16"/>
      <c r="M105" s="16"/>
      <c r="N105" s="16"/>
      <c r="O105" s="16"/>
      <c r="P105" s="16"/>
      <c r="Q105" s="16"/>
      <c r="R105" s="17" t="str">
        <f t="shared" si="5"/>
        <v/>
      </c>
      <c r="S105" s="16"/>
    </row>
    <row r="106" spans="1:19" x14ac:dyDescent="0.3">
      <c r="A106" s="16"/>
      <c r="B106" s="16"/>
      <c r="C106" s="16"/>
      <c r="D106" s="16"/>
      <c r="E106" s="16"/>
      <c r="F106" s="16"/>
      <c r="G106" s="16"/>
      <c r="H106" s="16"/>
      <c r="I106" s="17" t="str">
        <f t="shared" si="3"/>
        <v/>
      </c>
      <c r="J106" s="17" t="str">
        <f t="shared" si="4"/>
        <v/>
      </c>
      <c r="K106" s="17" t="str">
        <f>IF(I106="","",IF(I106&lt;=Скали!$B$1,"да","не"))</f>
        <v/>
      </c>
      <c r="L106" s="16"/>
      <c r="M106" s="16"/>
      <c r="N106" s="16"/>
      <c r="O106" s="16"/>
      <c r="P106" s="16"/>
      <c r="Q106" s="16"/>
      <c r="R106" s="17" t="str">
        <f t="shared" si="5"/>
        <v/>
      </c>
      <c r="S106" s="16"/>
    </row>
    <row r="107" spans="1:19" x14ac:dyDescent="0.3">
      <c r="A107" s="16"/>
      <c r="B107" s="16"/>
      <c r="C107" s="16"/>
      <c r="D107" s="16"/>
      <c r="E107" s="16"/>
      <c r="F107" s="16"/>
      <c r="G107" s="16"/>
      <c r="H107" s="16"/>
      <c r="I107" s="17" t="str">
        <f t="shared" si="3"/>
        <v/>
      </c>
      <c r="J107" s="17" t="str">
        <f t="shared" si="4"/>
        <v/>
      </c>
      <c r="K107" s="17" t="str">
        <f>IF(I107="","",IF(I107&lt;=Скали!$B$1,"да","не"))</f>
        <v/>
      </c>
      <c r="L107" s="16"/>
      <c r="M107" s="16"/>
      <c r="N107" s="16"/>
      <c r="O107" s="16"/>
      <c r="P107" s="16"/>
      <c r="Q107" s="16"/>
      <c r="R107" s="17" t="str">
        <f t="shared" si="5"/>
        <v/>
      </c>
      <c r="S107" s="16"/>
    </row>
    <row r="108" spans="1:19" x14ac:dyDescent="0.3">
      <c r="A108" s="16"/>
      <c r="B108" s="16"/>
      <c r="C108" s="16"/>
      <c r="D108" s="16"/>
      <c r="E108" s="16"/>
      <c r="F108" s="16"/>
      <c r="G108" s="16"/>
      <c r="H108" s="16"/>
      <c r="I108" s="17" t="str">
        <f t="shared" si="3"/>
        <v/>
      </c>
      <c r="J108" s="17" t="str">
        <f t="shared" si="4"/>
        <v/>
      </c>
      <c r="K108" s="17" t="str">
        <f>IF(I108="","",IF(I108&lt;=Скали!$B$1,"да","не"))</f>
        <v/>
      </c>
      <c r="L108" s="16"/>
      <c r="M108" s="16"/>
      <c r="N108" s="16"/>
      <c r="O108" s="16"/>
      <c r="P108" s="16"/>
      <c r="Q108" s="16"/>
      <c r="R108" s="17" t="str">
        <f t="shared" si="5"/>
        <v/>
      </c>
      <c r="S108" s="16"/>
    </row>
    <row r="109" spans="1:19" x14ac:dyDescent="0.3">
      <c r="A109" s="16"/>
      <c r="B109" s="16"/>
      <c r="C109" s="16"/>
      <c r="D109" s="16"/>
      <c r="E109" s="16"/>
      <c r="F109" s="16"/>
      <c r="G109" s="16"/>
      <c r="H109" s="16"/>
      <c r="I109" s="17" t="str">
        <f t="shared" si="3"/>
        <v/>
      </c>
      <c r="J109" s="17" t="str">
        <f t="shared" si="4"/>
        <v/>
      </c>
      <c r="K109" s="17" t="str">
        <f>IF(I109="","",IF(I109&lt;=Скали!$B$1,"да","не"))</f>
        <v/>
      </c>
      <c r="L109" s="16"/>
      <c r="M109" s="16"/>
      <c r="N109" s="16"/>
      <c r="O109" s="16"/>
      <c r="P109" s="16"/>
      <c r="Q109" s="16"/>
      <c r="R109" s="17" t="str">
        <f t="shared" si="5"/>
        <v/>
      </c>
      <c r="S109" s="16"/>
    </row>
    <row r="110" spans="1:19" x14ac:dyDescent="0.3">
      <c r="A110" s="16"/>
      <c r="B110" s="16"/>
      <c r="C110" s="16"/>
      <c r="D110" s="16"/>
      <c r="E110" s="16"/>
      <c r="F110" s="16"/>
      <c r="G110" s="16"/>
      <c r="H110" s="16"/>
      <c r="I110" s="17" t="str">
        <f t="shared" si="3"/>
        <v/>
      </c>
      <c r="J110" s="17" t="str">
        <f t="shared" si="4"/>
        <v/>
      </c>
      <c r="K110" s="17" t="str">
        <f>IF(I110="","",IF(I110&lt;=Скали!$B$1,"да","не"))</f>
        <v/>
      </c>
      <c r="L110" s="16"/>
      <c r="M110" s="16"/>
      <c r="N110" s="16"/>
      <c r="O110" s="16"/>
      <c r="P110" s="16"/>
      <c r="Q110" s="16"/>
      <c r="R110" s="17" t="str">
        <f t="shared" si="5"/>
        <v/>
      </c>
      <c r="S110" s="16"/>
    </row>
    <row r="111" spans="1:19" x14ac:dyDescent="0.3">
      <c r="A111" s="16"/>
      <c r="B111" s="16"/>
      <c r="C111" s="16"/>
      <c r="D111" s="16"/>
      <c r="E111" s="16"/>
      <c r="F111" s="16"/>
      <c r="G111" s="16"/>
      <c r="H111" s="16"/>
      <c r="I111" s="17" t="str">
        <f t="shared" si="3"/>
        <v/>
      </c>
      <c r="J111" s="17" t="str">
        <f t="shared" si="4"/>
        <v/>
      </c>
      <c r="K111" s="17" t="str">
        <f>IF(I111="","",IF(I111&lt;=Скали!$B$1,"да","не"))</f>
        <v/>
      </c>
      <c r="L111" s="16"/>
      <c r="M111" s="16"/>
      <c r="N111" s="16"/>
      <c r="O111" s="16"/>
      <c r="P111" s="16"/>
      <c r="Q111" s="16"/>
      <c r="R111" s="17" t="str">
        <f t="shared" si="5"/>
        <v/>
      </c>
      <c r="S111" s="16"/>
    </row>
    <row r="112" spans="1:19" x14ac:dyDescent="0.3">
      <c r="A112" s="16"/>
      <c r="B112" s="16"/>
      <c r="C112" s="16"/>
      <c r="D112" s="16"/>
      <c r="E112" s="16"/>
      <c r="F112" s="16"/>
      <c r="G112" s="16"/>
      <c r="H112" s="16"/>
      <c r="I112" s="17" t="str">
        <f t="shared" si="3"/>
        <v/>
      </c>
      <c r="J112" s="17" t="str">
        <f t="shared" si="4"/>
        <v/>
      </c>
      <c r="K112" s="17" t="str">
        <f>IF(I112="","",IF(I112&lt;=Скали!$B$1,"да","не"))</f>
        <v/>
      </c>
      <c r="L112" s="16"/>
      <c r="M112" s="16"/>
      <c r="N112" s="16"/>
      <c r="O112" s="16"/>
      <c r="P112" s="16"/>
      <c r="Q112" s="16"/>
      <c r="R112" s="17" t="str">
        <f t="shared" si="5"/>
        <v/>
      </c>
      <c r="S112" s="16"/>
    </row>
    <row r="113" spans="1:19" x14ac:dyDescent="0.3">
      <c r="A113" s="16"/>
      <c r="B113" s="16"/>
      <c r="C113" s="16"/>
      <c r="D113" s="16"/>
      <c r="E113" s="16"/>
      <c r="F113" s="16"/>
      <c r="G113" s="16"/>
      <c r="H113" s="16"/>
      <c r="I113" s="17" t="str">
        <f t="shared" si="3"/>
        <v/>
      </c>
      <c r="J113" s="17" t="str">
        <f t="shared" si="4"/>
        <v/>
      </c>
      <c r="K113" s="17" t="str">
        <f>IF(I113="","",IF(I113&lt;=Скали!$B$1,"да","не"))</f>
        <v/>
      </c>
      <c r="L113" s="16"/>
      <c r="M113" s="16"/>
      <c r="N113" s="16"/>
      <c r="O113" s="16"/>
      <c r="P113" s="16"/>
      <c r="Q113" s="16"/>
      <c r="R113" s="17" t="str">
        <f t="shared" si="5"/>
        <v/>
      </c>
      <c r="S113" s="16"/>
    </row>
    <row r="114" spans="1:19" x14ac:dyDescent="0.3">
      <c r="A114" s="16"/>
      <c r="B114" s="16"/>
      <c r="C114" s="16"/>
      <c r="D114" s="16"/>
      <c r="E114" s="16"/>
      <c r="F114" s="16"/>
      <c r="G114" s="16"/>
      <c r="H114" s="16"/>
      <c r="I114" s="17" t="str">
        <f t="shared" si="3"/>
        <v/>
      </c>
      <c r="J114" s="17" t="str">
        <f t="shared" si="4"/>
        <v/>
      </c>
      <c r="K114" s="17" t="str">
        <f>IF(I114="","",IF(I114&lt;=Скали!$B$1,"да","не"))</f>
        <v/>
      </c>
      <c r="L114" s="16"/>
      <c r="M114" s="16"/>
      <c r="N114" s="16"/>
      <c r="O114" s="16"/>
      <c r="P114" s="16"/>
      <c r="Q114" s="16"/>
      <c r="R114" s="17" t="str">
        <f t="shared" si="5"/>
        <v/>
      </c>
      <c r="S114" s="16"/>
    </row>
    <row r="115" spans="1:19" x14ac:dyDescent="0.3">
      <c r="A115" s="16"/>
      <c r="B115" s="16"/>
      <c r="C115" s="16"/>
      <c r="D115" s="16"/>
      <c r="E115" s="16"/>
      <c r="F115" s="16"/>
      <c r="G115" s="16"/>
      <c r="H115" s="16"/>
      <c r="I115" s="17" t="str">
        <f t="shared" si="3"/>
        <v/>
      </c>
      <c r="J115" s="17" t="str">
        <f t="shared" si="4"/>
        <v/>
      </c>
      <c r="K115" s="17" t="str">
        <f>IF(I115="","",IF(I115&lt;=Скали!$B$1,"да","не"))</f>
        <v/>
      </c>
      <c r="L115" s="16"/>
      <c r="M115" s="16"/>
      <c r="N115" s="16"/>
      <c r="O115" s="16"/>
      <c r="P115" s="16"/>
      <c r="Q115" s="16"/>
      <c r="R115" s="17" t="str">
        <f t="shared" si="5"/>
        <v/>
      </c>
      <c r="S115" s="16"/>
    </row>
    <row r="116" spans="1:19" x14ac:dyDescent="0.3">
      <c r="A116" s="16"/>
      <c r="B116" s="16"/>
      <c r="C116" s="16"/>
      <c r="D116" s="16"/>
      <c r="E116" s="16"/>
      <c r="F116" s="16"/>
      <c r="G116" s="16"/>
      <c r="H116" s="16"/>
      <c r="I116" s="17" t="str">
        <f t="shared" si="3"/>
        <v/>
      </c>
      <c r="J116" s="17" t="str">
        <f t="shared" si="4"/>
        <v/>
      </c>
      <c r="K116" s="17" t="str">
        <f>IF(I116="","",IF(I116&lt;=Скали!$B$1,"да","не"))</f>
        <v/>
      </c>
      <c r="L116" s="16"/>
      <c r="M116" s="16"/>
      <c r="N116" s="16"/>
      <c r="O116" s="16"/>
      <c r="P116" s="16"/>
      <c r="Q116" s="16"/>
      <c r="R116" s="17" t="str">
        <f t="shared" si="5"/>
        <v/>
      </c>
      <c r="S116" s="16"/>
    </row>
    <row r="117" spans="1:19" x14ac:dyDescent="0.3">
      <c r="A117" s="16"/>
      <c r="B117" s="16"/>
      <c r="C117" s="16"/>
      <c r="D117" s="16"/>
      <c r="E117" s="16"/>
      <c r="F117" s="16"/>
      <c r="G117" s="16"/>
      <c r="H117" s="16"/>
      <c r="I117" s="17" t="str">
        <f t="shared" si="3"/>
        <v/>
      </c>
      <c r="J117" s="17" t="str">
        <f t="shared" si="4"/>
        <v/>
      </c>
      <c r="K117" s="17" t="str">
        <f>IF(I117="","",IF(I117&lt;=Скали!$B$1,"да","не"))</f>
        <v/>
      </c>
      <c r="L117" s="16"/>
      <c r="M117" s="16"/>
      <c r="N117" s="16"/>
      <c r="O117" s="16"/>
      <c r="P117" s="16"/>
      <c r="Q117" s="16"/>
      <c r="R117" s="17" t="str">
        <f t="shared" si="5"/>
        <v/>
      </c>
      <c r="S117" s="16"/>
    </row>
    <row r="118" spans="1:19" x14ac:dyDescent="0.3">
      <c r="A118" s="16"/>
      <c r="B118" s="16"/>
      <c r="C118" s="16"/>
      <c r="D118" s="16"/>
      <c r="E118" s="16"/>
      <c r="F118" s="16"/>
      <c r="G118" s="16"/>
      <c r="H118" s="16"/>
      <c r="I118" s="17" t="str">
        <f t="shared" si="3"/>
        <v/>
      </c>
      <c r="J118" s="17" t="str">
        <f t="shared" si="4"/>
        <v/>
      </c>
      <c r="K118" s="17" t="str">
        <f>IF(I118="","",IF(I118&lt;=Скали!$B$1,"да","не"))</f>
        <v/>
      </c>
      <c r="L118" s="16"/>
      <c r="M118" s="16"/>
      <c r="N118" s="16"/>
      <c r="O118" s="16"/>
      <c r="P118" s="16"/>
      <c r="Q118" s="16"/>
      <c r="R118" s="17" t="str">
        <f t="shared" si="5"/>
        <v/>
      </c>
      <c r="S118" s="16"/>
    </row>
    <row r="119" spans="1:19" x14ac:dyDescent="0.3">
      <c r="A119" s="16"/>
      <c r="B119" s="16"/>
      <c r="C119" s="16"/>
      <c r="D119" s="16"/>
      <c r="E119" s="16"/>
      <c r="F119" s="16"/>
      <c r="G119" s="16"/>
      <c r="H119" s="16"/>
      <c r="I119" s="17" t="str">
        <f t="shared" si="3"/>
        <v/>
      </c>
      <c r="J119" s="17" t="str">
        <f t="shared" si="4"/>
        <v/>
      </c>
      <c r="K119" s="17" t="str">
        <f>IF(I119="","",IF(I119&lt;=Скали!$B$1,"да","не"))</f>
        <v/>
      </c>
      <c r="L119" s="16"/>
      <c r="M119" s="16"/>
      <c r="N119" s="16"/>
      <c r="O119" s="16"/>
      <c r="P119" s="16"/>
      <c r="Q119" s="16"/>
      <c r="R119" s="17" t="str">
        <f t="shared" si="5"/>
        <v/>
      </c>
      <c r="S119" s="16"/>
    </row>
    <row r="120" spans="1:19" x14ac:dyDescent="0.3">
      <c r="A120" s="16"/>
      <c r="B120" s="16"/>
      <c r="C120" s="16"/>
      <c r="D120" s="16"/>
      <c r="E120" s="16"/>
      <c r="F120" s="16"/>
      <c r="G120" s="16"/>
      <c r="H120" s="16"/>
      <c r="I120" s="17" t="str">
        <f t="shared" si="3"/>
        <v/>
      </c>
      <c r="J120" s="17" t="str">
        <f t="shared" si="4"/>
        <v/>
      </c>
      <c r="K120" s="17" t="str">
        <f>IF(I120="","",IF(I120&lt;=Скали!$B$1,"да","не"))</f>
        <v/>
      </c>
      <c r="L120" s="16"/>
      <c r="M120" s="16"/>
      <c r="N120" s="16"/>
      <c r="O120" s="16"/>
      <c r="P120" s="16"/>
      <c r="Q120" s="16"/>
      <c r="R120" s="17" t="str">
        <f t="shared" si="5"/>
        <v/>
      </c>
      <c r="S120" s="16"/>
    </row>
    <row r="121" spans="1:19" x14ac:dyDescent="0.3">
      <c r="A121" s="16"/>
      <c r="B121" s="16"/>
      <c r="C121" s="16"/>
      <c r="D121" s="16"/>
      <c r="E121" s="16"/>
      <c r="F121" s="16"/>
      <c r="G121" s="16"/>
      <c r="H121" s="16"/>
      <c r="I121" s="17" t="str">
        <f t="shared" si="3"/>
        <v/>
      </c>
      <c r="J121" s="17" t="str">
        <f t="shared" si="4"/>
        <v/>
      </c>
      <c r="K121" s="17" t="str">
        <f>IF(I121="","",IF(I121&lt;=Скали!$B$1,"да","не"))</f>
        <v/>
      </c>
      <c r="L121" s="16"/>
      <c r="M121" s="16"/>
      <c r="N121" s="16"/>
      <c r="O121" s="16"/>
      <c r="P121" s="16"/>
      <c r="Q121" s="16"/>
      <c r="R121" s="17" t="str">
        <f t="shared" si="5"/>
        <v/>
      </c>
      <c r="S121" s="16"/>
    </row>
    <row r="122" spans="1:19" x14ac:dyDescent="0.3">
      <c r="A122" s="16"/>
      <c r="B122" s="16"/>
      <c r="C122" s="16"/>
      <c r="D122" s="16"/>
      <c r="E122" s="16"/>
      <c r="F122" s="16"/>
      <c r="G122" s="16"/>
      <c r="H122" s="16"/>
      <c r="I122" s="17" t="str">
        <f t="shared" si="3"/>
        <v/>
      </c>
      <c r="J122" s="17" t="str">
        <f t="shared" si="4"/>
        <v/>
      </c>
      <c r="K122" s="17" t="str">
        <f>IF(I122="","",IF(I122&lt;=Скали!$B$1,"да","не"))</f>
        <v/>
      </c>
      <c r="L122" s="16"/>
      <c r="M122" s="16"/>
      <c r="N122" s="16"/>
      <c r="O122" s="16"/>
      <c r="P122" s="16"/>
      <c r="Q122" s="16"/>
      <c r="R122" s="17" t="str">
        <f t="shared" si="5"/>
        <v/>
      </c>
      <c r="S122" s="16"/>
    </row>
    <row r="123" spans="1:19" x14ac:dyDescent="0.3">
      <c r="A123" s="16"/>
      <c r="B123" s="16"/>
      <c r="C123" s="16"/>
      <c r="D123" s="16"/>
      <c r="E123" s="16"/>
      <c r="F123" s="16"/>
      <c r="G123" s="16"/>
      <c r="H123" s="16"/>
      <c r="I123" s="17" t="str">
        <f t="shared" si="3"/>
        <v/>
      </c>
      <c r="J123" s="17" t="str">
        <f t="shared" si="4"/>
        <v/>
      </c>
      <c r="K123" s="17" t="str">
        <f>IF(I123="","",IF(I123&lt;=Скали!$B$1,"да","не"))</f>
        <v/>
      </c>
      <c r="L123" s="16"/>
      <c r="M123" s="16"/>
      <c r="N123" s="16"/>
      <c r="O123" s="16"/>
      <c r="P123" s="16"/>
      <c r="Q123" s="16"/>
      <c r="R123" s="17" t="str">
        <f t="shared" si="5"/>
        <v/>
      </c>
      <c r="S123" s="16"/>
    </row>
    <row r="124" spans="1:19" x14ac:dyDescent="0.3">
      <c r="A124" s="16"/>
      <c r="B124" s="16"/>
      <c r="C124" s="16"/>
      <c r="D124" s="16"/>
      <c r="E124" s="16"/>
      <c r="F124" s="16"/>
      <c r="G124" s="16"/>
      <c r="H124" s="16"/>
      <c r="I124" s="17" t="str">
        <f t="shared" si="3"/>
        <v/>
      </c>
      <c r="J124" s="17" t="str">
        <f t="shared" si="4"/>
        <v/>
      </c>
      <c r="K124" s="17" t="str">
        <f>IF(I124="","",IF(I124&lt;=Скали!$B$1,"да","не"))</f>
        <v/>
      </c>
      <c r="L124" s="16"/>
      <c r="M124" s="16"/>
      <c r="N124" s="16"/>
      <c r="O124" s="16"/>
      <c r="P124" s="16"/>
      <c r="Q124" s="16"/>
      <c r="R124" s="17" t="str">
        <f t="shared" si="5"/>
        <v/>
      </c>
      <c r="S124" s="16"/>
    </row>
    <row r="125" spans="1:19" x14ac:dyDescent="0.3">
      <c r="A125" s="16"/>
      <c r="B125" s="16"/>
      <c r="C125" s="16"/>
      <c r="D125" s="16"/>
      <c r="E125" s="16"/>
      <c r="F125" s="16"/>
      <c r="G125" s="16"/>
      <c r="H125" s="16"/>
      <c r="I125" s="17" t="str">
        <f t="shared" si="3"/>
        <v/>
      </c>
      <c r="J125" s="17" t="str">
        <f t="shared" si="4"/>
        <v/>
      </c>
      <c r="K125" s="17" t="str">
        <f>IF(I125="","",IF(I125&lt;=Скали!$B$1,"да","не"))</f>
        <v/>
      </c>
      <c r="L125" s="16"/>
      <c r="M125" s="16"/>
      <c r="N125" s="16"/>
      <c r="O125" s="16"/>
      <c r="P125" s="16"/>
      <c r="Q125" s="16"/>
      <c r="R125" s="17" t="str">
        <f t="shared" si="5"/>
        <v/>
      </c>
      <c r="S125" s="16"/>
    </row>
    <row r="126" spans="1:19" x14ac:dyDescent="0.3">
      <c r="A126" s="16"/>
      <c r="B126" s="16"/>
      <c r="C126" s="16"/>
      <c r="D126" s="16"/>
      <c r="E126" s="16"/>
      <c r="F126" s="16"/>
      <c r="G126" s="16"/>
      <c r="H126" s="16"/>
      <c r="I126" s="17" t="str">
        <f t="shared" si="3"/>
        <v/>
      </c>
      <c r="J126" s="17" t="str">
        <f t="shared" si="4"/>
        <v/>
      </c>
      <c r="K126" s="17" t="str">
        <f>IF(I126="","",IF(I126&lt;=Скали!$B$1,"да","не"))</f>
        <v/>
      </c>
      <c r="L126" s="16"/>
      <c r="M126" s="16"/>
      <c r="N126" s="16"/>
      <c r="O126" s="16"/>
      <c r="P126" s="16"/>
      <c r="Q126" s="16"/>
      <c r="R126" s="17" t="str">
        <f t="shared" si="5"/>
        <v/>
      </c>
      <c r="S126" s="16"/>
    </row>
    <row r="127" spans="1:19" x14ac:dyDescent="0.3">
      <c r="A127" s="16"/>
      <c r="B127" s="16"/>
      <c r="C127" s="16"/>
      <c r="D127" s="16"/>
      <c r="E127" s="16"/>
      <c r="F127" s="16"/>
      <c r="G127" s="16"/>
      <c r="H127" s="16"/>
      <c r="I127" s="17" t="str">
        <f t="shared" si="3"/>
        <v/>
      </c>
      <c r="J127" s="17" t="str">
        <f t="shared" si="4"/>
        <v/>
      </c>
      <c r="K127" s="17" t="str">
        <f>IF(I127="","",IF(I127&lt;=Скали!$B$1,"да","не"))</f>
        <v/>
      </c>
      <c r="L127" s="16"/>
      <c r="M127" s="16"/>
      <c r="N127" s="16"/>
      <c r="O127" s="16"/>
      <c r="P127" s="16"/>
      <c r="Q127" s="16"/>
      <c r="R127" s="17" t="str">
        <f t="shared" si="5"/>
        <v/>
      </c>
      <c r="S127" s="16"/>
    </row>
    <row r="128" spans="1:19" x14ac:dyDescent="0.3">
      <c r="A128" s="16"/>
      <c r="B128" s="16"/>
      <c r="C128" s="16"/>
      <c r="D128" s="16"/>
      <c r="E128" s="16"/>
      <c r="F128" s="16"/>
      <c r="G128" s="16"/>
      <c r="H128" s="16"/>
      <c r="I128" s="17" t="str">
        <f t="shared" si="3"/>
        <v/>
      </c>
      <c r="J128" s="17" t="str">
        <f t="shared" si="4"/>
        <v/>
      </c>
      <c r="K128" s="17" t="str">
        <f>IF(I128="","",IF(I128&lt;=Скали!$B$1,"да","не"))</f>
        <v/>
      </c>
      <c r="L128" s="16"/>
      <c r="M128" s="16"/>
      <c r="N128" s="16"/>
      <c r="O128" s="16"/>
      <c r="P128" s="16"/>
      <c r="Q128" s="16"/>
      <c r="R128" s="17" t="str">
        <f t="shared" si="5"/>
        <v/>
      </c>
      <c r="S128" s="16"/>
    </row>
    <row r="129" spans="1:19" x14ac:dyDescent="0.3">
      <c r="A129" s="16"/>
      <c r="B129" s="16"/>
      <c r="C129" s="16"/>
      <c r="D129" s="16"/>
      <c r="E129" s="16"/>
      <c r="F129" s="16"/>
      <c r="G129" s="16"/>
      <c r="H129" s="16"/>
      <c r="I129" s="17" t="str">
        <f t="shared" si="3"/>
        <v/>
      </c>
      <c r="J129" s="17" t="str">
        <f t="shared" si="4"/>
        <v/>
      </c>
      <c r="K129" s="17" t="str">
        <f>IF(I129="","",IF(I129&lt;=Скали!$B$1,"да","не"))</f>
        <v/>
      </c>
      <c r="L129" s="16"/>
      <c r="M129" s="16"/>
      <c r="N129" s="16"/>
      <c r="O129" s="16"/>
      <c r="P129" s="16"/>
      <c r="Q129" s="16"/>
      <c r="R129" s="17" t="str">
        <f t="shared" si="5"/>
        <v/>
      </c>
      <c r="S129" s="16"/>
    </row>
    <row r="130" spans="1:19" x14ac:dyDescent="0.3">
      <c r="A130" s="16"/>
      <c r="B130" s="16"/>
      <c r="C130" s="16"/>
      <c r="D130" s="16"/>
      <c r="E130" s="16"/>
      <c r="F130" s="16"/>
      <c r="G130" s="16"/>
      <c r="H130" s="16"/>
      <c r="I130" s="17" t="str">
        <f t="shared" ref="I130:I193" si="6">IF(OR(G130="",H130=""),"",G130*H130)</f>
        <v/>
      </c>
      <c r="J130" s="17" t="str">
        <f t="shared" ref="J130:J193" si="7">IF(I130="","",IF(I130&lt;=4,"нисък",IF(I130&lt;=9,"умерен",IF(I130&lt;=15,"висок","критичен"))))</f>
        <v/>
      </c>
      <c r="K130" s="17" t="str">
        <f>IF(I130="","",IF(I130&lt;=Скали!$B$1,"да","не"))</f>
        <v/>
      </c>
      <c r="L130" s="16"/>
      <c r="M130" s="16"/>
      <c r="N130" s="16"/>
      <c r="O130" s="16"/>
      <c r="P130" s="16"/>
      <c r="Q130" s="16"/>
      <c r="R130" s="17" t="str">
        <f t="shared" ref="R130:R193" si="8">IF(OR(P130="",Q130=""),"",P130*Q130)</f>
        <v/>
      </c>
      <c r="S130" s="16"/>
    </row>
    <row r="131" spans="1:19" x14ac:dyDescent="0.3">
      <c r="A131" s="16"/>
      <c r="B131" s="16"/>
      <c r="C131" s="16"/>
      <c r="D131" s="16"/>
      <c r="E131" s="16"/>
      <c r="F131" s="16"/>
      <c r="G131" s="16"/>
      <c r="H131" s="16"/>
      <c r="I131" s="17" t="str">
        <f t="shared" si="6"/>
        <v/>
      </c>
      <c r="J131" s="17" t="str">
        <f t="shared" si="7"/>
        <v/>
      </c>
      <c r="K131" s="17" t="str">
        <f>IF(I131="","",IF(I131&lt;=Скали!$B$1,"да","не"))</f>
        <v/>
      </c>
      <c r="L131" s="16"/>
      <c r="M131" s="16"/>
      <c r="N131" s="16"/>
      <c r="O131" s="16"/>
      <c r="P131" s="16"/>
      <c r="Q131" s="16"/>
      <c r="R131" s="17" t="str">
        <f t="shared" si="8"/>
        <v/>
      </c>
      <c r="S131" s="16"/>
    </row>
    <row r="132" spans="1:19" x14ac:dyDescent="0.3">
      <c r="A132" s="16"/>
      <c r="B132" s="16"/>
      <c r="C132" s="16"/>
      <c r="D132" s="16"/>
      <c r="E132" s="16"/>
      <c r="F132" s="16"/>
      <c r="G132" s="16"/>
      <c r="H132" s="16"/>
      <c r="I132" s="17" t="str">
        <f t="shared" si="6"/>
        <v/>
      </c>
      <c r="J132" s="17" t="str">
        <f t="shared" si="7"/>
        <v/>
      </c>
      <c r="K132" s="17" t="str">
        <f>IF(I132="","",IF(I132&lt;=Скали!$B$1,"да","не"))</f>
        <v/>
      </c>
      <c r="L132" s="16"/>
      <c r="M132" s="16"/>
      <c r="N132" s="16"/>
      <c r="O132" s="16"/>
      <c r="P132" s="16"/>
      <c r="Q132" s="16"/>
      <c r="R132" s="17" t="str">
        <f t="shared" si="8"/>
        <v/>
      </c>
      <c r="S132" s="16"/>
    </row>
    <row r="133" spans="1:19" x14ac:dyDescent="0.3">
      <c r="A133" s="16"/>
      <c r="B133" s="16"/>
      <c r="C133" s="16"/>
      <c r="D133" s="16"/>
      <c r="E133" s="16"/>
      <c r="F133" s="16"/>
      <c r="G133" s="16"/>
      <c r="H133" s="16"/>
      <c r="I133" s="17" t="str">
        <f t="shared" si="6"/>
        <v/>
      </c>
      <c r="J133" s="17" t="str">
        <f t="shared" si="7"/>
        <v/>
      </c>
      <c r="K133" s="17" t="str">
        <f>IF(I133="","",IF(I133&lt;=Скали!$B$1,"да","не"))</f>
        <v/>
      </c>
      <c r="L133" s="16"/>
      <c r="M133" s="16"/>
      <c r="N133" s="16"/>
      <c r="O133" s="16"/>
      <c r="P133" s="16"/>
      <c r="Q133" s="16"/>
      <c r="R133" s="17" t="str">
        <f t="shared" si="8"/>
        <v/>
      </c>
      <c r="S133" s="16"/>
    </row>
    <row r="134" spans="1:19" x14ac:dyDescent="0.3">
      <c r="A134" s="16"/>
      <c r="B134" s="16"/>
      <c r="C134" s="16"/>
      <c r="D134" s="16"/>
      <c r="E134" s="16"/>
      <c r="F134" s="16"/>
      <c r="G134" s="16"/>
      <c r="H134" s="16"/>
      <c r="I134" s="17" t="str">
        <f t="shared" si="6"/>
        <v/>
      </c>
      <c r="J134" s="17" t="str">
        <f t="shared" si="7"/>
        <v/>
      </c>
      <c r="K134" s="17" t="str">
        <f>IF(I134="","",IF(I134&lt;=Скали!$B$1,"да","не"))</f>
        <v/>
      </c>
      <c r="L134" s="16"/>
      <c r="M134" s="16"/>
      <c r="N134" s="16"/>
      <c r="O134" s="16"/>
      <c r="P134" s="16"/>
      <c r="Q134" s="16"/>
      <c r="R134" s="17" t="str">
        <f t="shared" si="8"/>
        <v/>
      </c>
      <c r="S134" s="16"/>
    </row>
    <row r="135" spans="1:19" x14ac:dyDescent="0.3">
      <c r="A135" s="16"/>
      <c r="B135" s="16"/>
      <c r="C135" s="16"/>
      <c r="D135" s="16"/>
      <c r="E135" s="16"/>
      <c r="F135" s="16"/>
      <c r="G135" s="16"/>
      <c r="H135" s="16"/>
      <c r="I135" s="17" t="str">
        <f t="shared" si="6"/>
        <v/>
      </c>
      <c r="J135" s="17" t="str">
        <f t="shared" si="7"/>
        <v/>
      </c>
      <c r="K135" s="17" t="str">
        <f>IF(I135="","",IF(I135&lt;=Скали!$B$1,"да","не"))</f>
        <v/>
      </c>
      <c r="L135" s="16"/>
      <c r="M135" s="16"/>
      <c r="N135" s="16"/>
      <c r="O135" s="16"/>
      <c r="P135" s="16"/>
      <c r="Q135" s="16"/>
      <c r="R135" s="17" t="str">
        <f t="shared" si="8"/>
        <v/>
      </c>
      <c r="S135" s="16"/>
    </row>
    <row r="136" spans="1:19" x14ac:dyDescent="0.3">
      <c r="A136" s="16"/>
      <c r="B136" s="16"/>
      <c r="C136" s="16"/>
      <c r="D136" s="16"/>
      <c r="E136" s="16"/>
      <c r="F136" s="16"/>
      <c r="G136" s="16"/>
      <c r="H136" s="16"/>
      <c r="I136" s="17" t="str">
        <f t="shared" si="6"/>
        <v/>
      </c>
      <c r="J136" s="17" t="str">
        <f t="shared" si="7"/>
        <v/>
      </c>
      <c r="K136" s="17" t="str">
        <f>IF(I136="","",IF(I136&lt;=Скали!$B$1,"да","не"))</f>
        <v/>
      </c>
      <c r="L136" s="16"/>
      <c r="M136" s="16"/>
      <c r="N136" s="16"/>
      <c r="O136" s="16"/>
      <c r="P136" s="16"/>
      <c r="Q136" s="16"/>
      <c r="R136" s="17" t="str">
        <f t="shared" si="8"/>
        <v/>
      </c>
      <c r="S136" s="16"/>
    </row>
    <row r="137" spans="1:19" x14ac:dyDescent="0.3">
      <c r="A137" s="16"/>
      <c r="B137" s="16"/>
      <c r="C137" s="16"/>
      <c r="D137" s="16"/>
      <c r="E137" s="16"/>
      <c r="F137" s="16"/>
      <c r="G137" s="16"/>
      <c r="H137" s="16"/>
      <c r="I137" s="17" t="str">
        <f t="shared" si="6"/>
        <v/>
      </c>
      <c r="J137" s="17" t="str">
        <f t="shared" si="7"/>
        <v/>
      </c>
      <c r="K137" s="17" t="str">
        <f>IF(I137="","",IF(I137&lt;=Скали!$B$1,"да","не"))</f>
        <v/>
      </c>
      <c r="L137" s="16"/>
      <c r="M137" s="16"/>
      <c r="N137" s="16"/>
      <c r="O137" s="16"/>
      <c r="P137" s="16"/>
      <c r="Q137" s="16"/>
      <c r="R137" s="17" t="str">
        <f t="shared" si="8"/>
        <v/>
      </c>
      <c r="S137" s="16"/>
    </row>
    <row r="138" spans="1:19" x14ac:dyDescent="0.3">
      <c r="A138" s="16"/>
      <c r="B138" s="16"/>
      <c r="C138" s="16"/>
      <c r="D138" s="16"/>
      <c r="E138" s="16"/>
      <c r="F138" s="16"/>
      <c r="G138" s="16"/>
      <c r="H138" s="16"/>
      <c r="I138" s="17" t="str">
        <f t="shared" si="6"/>
        <v/>
      </c>
      <c r="J138" s="17" t="str">
        <f t="shared" si="7"/>
        <v/>
      </c>
      <c r="K138" s="17" t="str">
        <f>IF(I138="","",IF(I138&lt;=Скали!$B$1,"да","не"))</f>
        <v/>
      </c>
      <c r="L138" s="16"/>
      <c r="M138" s="16"/>
      <c r="N138" s="16"/>
      <c r="O138" s="16"/>
      <c r="P138" s="16"/>
      <c r="Q138" s="16"/>
      <c r="R138" s="17" t="str">
        <f t="shared" si="8"/>
        <v/>
      </c>
      <c r="S138" s="16"/>
    </row>
    <row r="139" spans="1:19" x14ac:dyDescent="0.3">
      <c r="A139" s="16"/>
      <c r="B139" s="16"/>
      <c r="C139" s="16"/>
      <c r="D139" s="16"/>
      <c r="E139" s="16"/>
      <c r="F139" s="16"/>
      <c r="G139" s="16"/>
      <c r="H139" s="16"/>
      <c r="I139" s="17" t="str">
        <f t="shared" si="6"/>
        <v/>
      </c>
      <c r="J139" s="17" t="str">
        <f t="shared" si="7"/>
        <v/>
      </c>
      <c r="K139" s="17" t="str">
        <f>IF(I139="","",IF(I139&lt;=Скали!$B$1,"да","не"))</f>
        <v/>
      </c>
      <c r="L139" s="16"/>
      <c r="M139" s="16"/>
      <c r="N139" s="16"/>
      <c r="O139" s="16"/>
      <c r="P139" s="16"/>
      <c r="Q139" s="16"/>
      <c r="R139" s="17" t="str">
        <f t="shared" si="8"/>
        <v/>
      </c>
      <c r="S139" s="16"/>
    </row>
    <row r="140" spans="1:19" x14ac:dyDescent="0.3">
      <c r="A140" s="16"/>
      <c r="B140" s="16"/>
      <c r="C140" s="16"/>
      <c r="D140" s="16"/>
      <c r="E140" s="16"/>
      <c r="F140" s="16"/>
      <c r="G140" s="16"/>
      <c r="H140" s="16"/>
      <c r="I140" s="17" t="str">
        <f t="shared" si="6"/>
        <v/>
      </c>
      <c r="J140" s="17" t="str">
        <f t="shared" si="7"/>
        <v/>
      </c>
      <c r="K140" s="17" t="str">
        <f>IF(I140="","",IF(I140&lt;=Скали!$B$1,"да","не"))</f>
        <v/>
      </c>
      <c r="L140" s="16"/>
      <c r="M140" s="16"/>
      <c r="N140" s="16"/>
      <c r="O140" s="16"/>
      <c r="P140" s="16"/>
      <c r="Q140" s="16"/>
      <c r="R140" s="17" t="str">
        <f t="shared" si="8"/>
        <v/>
      </c>
      <c r="S140" s="16"/>
    </row>
    <row r="141" spans="1:19" x14ac:dyDescent="0.3">
      <c r="A141" s="16"/>
      <c r="B141" s="16"/>
      <c r="C141" s="16"/>
      <c r="D141" s="16"/>
      <c r="E141" s="16"/>
      <c r="F141" s="16"/>
      <c r="G141" s="16"/>
      <c r="H141" s="16"/>
      <c r="I141" s="17" t="str">
        <f t="shared" si="6"/>
        <v/>
      </c>
      <c r="J141" s="17" t="str">
        <f t="shared" si="7"/>
        <v/>
      </c>
      <c r="K141" s="17" t="str">
        <f>IF(I141="","",IF(I141&lt;=Скали!$B$1,"да","не"))</f>
        <v/>
      </c>
      <c r="L141" s="16"/>
      <c r="M141" s="16"/>
      <c r="N141" s="16"/>
      <c r="O141" s="16"/>
      <c r="P141" s="16"/>
      <c r="Q141" s="16"/>
      <c r="R141" s="17" t="str">
        <f t="shared" si="8"/>
        <v/>
      </c>
      <c r="S141" s="16"/>
    </row>
    <row r="142" spans="1:19" x14ac:dyDescent="0.3">
      <c r="A142" s="16"/>
      <c r="B142" s="16"/>
      <c r="C142" s="16"/>
      <c r="D142" s="16"/>
      <c r="E142" s="16"/>
      <c r="F142" s="16"/>
      <c r="G142" s="16"/>
      <c r="H142" s="16"/>
      <c r="I142" s="17" t="str">
        <f t="shared" si="6"/>
        <v/>
      </c>
      <c r="J142" s="17" t="str">
        <f t="shared" si="7"/>
        <v/>
      </c>
      <c r="K142" s="17" t="str">
        <f>IF(I142="","",IF(I142&lt;=Скали!$B$1,"да","не"))</f>
        <v/>
      </c>
      <c r="L142" s="16"/>
      <c r="M142" s="16"/>
      <c r="N142" s="16"/>
      <c r="O142" s="16"/>
      <c r="P142" s="16"/>
      <c r="Q142" s="16"/>
      <c r="R142" s="17" t="str">
        <f t="shared" si="8"/>
        <v/>
      </c>
      <c r="S142" s="16"/>
    </row>
    <row r="143" spans="1:19" x14ac:dyDescent="0.3">
      <c r="A143" s="16"/>
      <c r="B143" s="16"/>
      <c r="C143" s="16"/>
      <c r="D143" s="16"/>
      <c r="E143" s="16"/>
      <c r="F143" s="16"/>
      <c r="G143" s="16"/>
      <c r="H143" s="16"/>
      <c r="I143" s="17" t="str">
        <f t="shared" si="6"/>
        <v/>
      </c>
      <c r="J143" s="17" t="str">
        <f t="shared" si="7"/>
        <v/>
      </c>
      <c r="K143" s="17" t="str">
        <f>IF(I143="","",IF(I143&lt;=Скали!$B$1,"да","не"))</f>
        <v/>
      </c>
      <c r="L143" s="16"/>
      <c r="M143" s="16"/>
      <c r="N143" s="16"/>
      <c r="O143" s="16"/>
      <c r="P143" s="16"/>
      <c r="Q143" s="16"/>
      <c r="R143" s="17" t="str">
        <f t="shared" si="8"/>
        <v/>
      </c>
      <c r="S143" s="16"/>
    </row>
    <row r="144" spans="1:19" x14ac:dyDescent="0.3">
      <c r="A144" s="16"/>
      <c r="B144" s="16"/>
      <c r="C144" s="16"/>
      <c r="D144" s="16"/>
      <c r="E144" s="16"/>
      <c r="F144" s="16"/>
      <c r="G144" s="16"/>
      <c r="H144" s="16"/>
      <c r="I144" s="17" t="str">
        <f t="shared" si="6"/>
        <v/>
      </c>
      <c r="J144" s="17" t="str">
        <f t="shared" si="7"/>
        <v/>
      </c>
      <c r="K144" s="17" t="str">
        <f>IF(I144="","",IF(I144&lt;=Скали!$B$1,"да","не"))</f>
        <v/>
      </c>
      <c r="L144" s="16"/>
      <c r="M144" s="16"/>
      <c r="N144" s="16"/>
      <c r="O144" s="16"/>
      <c r="P144" s="16"/>
      <c r="Q144" s="16"/>
      <c r="R144" s="17" t="str">
        <f t="shared" si="8"/>
        <v/>
      </c>
      <c r="S144" s="16"/>
    </row>
    <row r="145" spans="1:19" x14ac:dyDescent="0.3">
      <c r="A145" s="16"/>
      <c r="B145" s="16"/>
      <c r="C145" s="16"/>
      <c r="D145" s="16"/>
      <c r="E145" s="16"/>
      <c r="F145" s="16"/>
      <c r="G145" s="16"/>
      <c r="H145" s="16"/>
      <c r="I145" s="17" t="str">
        <f t="shared" si="6"/>
        <v/>
      </c>
      <c r="J145" s="17" t="str">
        <f t="shared" si="7"/>
        <v/>
      </c>
      <c r="K145" s="17" t="str">
        <f>IF(I145="","",IF(I145&lt;=Скали!$B$1,"да","не"))</f>
        <v/>
      </c>
      <c r="L145" s="16"/>
      <c r="M145" s="16"/>
      <c r="N145" s="16"/>
      <c r="O145" s="16"/>
      <c r="P145" s="16"/>
      <c r="Q145" s="16"/>
      <c r="R145" s="17" t="str">
        <f t="shared" si="8"/>
        <v/>
      </c>
      <c r="S145" s="16"/>
    </row>
    <row r="146" spans="1:19" x14ac:dyDescent="0.3">
      <c r="A146" s="16"/>
      <c r="B146" s="16"/>
      <c r="C146" s="16"/>
      <c r="D146" s="16"/>
      <c r="E146" s="16"/>
      <c r="F146" s="16"/>
      <c r="G146" s="16"/>
      <c r="H146" s="16"/>
      <c r="I146" s="17" t="str">
        <f t="shared" si="6"/>
        <v/>
      </c>
      <c r="J146" s="17" t="str">
        <f t="shared" si="7"/>
        <v/>
      </c>
      <c r="K146" s="17" t="str">
        <f>IF(I146="","",IF(I146&lt;=Скали!$B$1,"да","не"))</f>
        <v/>
      </c>
      <c r="L146" s="16"/>
      <c r="M146" s="16"/>
      <c r="N146" s="16"/>
      <c r="O146" s="16"/>
      <c r="P146" s="16"/>
      <c r="Q146" s="16"/>
      <c r="R146" s="17" t="str">
        <f t="shared" si="8"/>
        <v/>
      </c>
      <c r="S146" s="16"/>
    </row>
    <row r="147" spans="1:19" x14ac:dyDescent="0.3">
      <c r="A147" s="16"/>
      <c r="B147" s="16"/>
      <c r="C147" s="16"/>
      <c r="D147" s="16"/>
      <c r="E147" s="16"/>
      <c r="F147" s="16"/>
      <c r="G147" s="16"/>
      <c r="H147" s="16"/>
      <c r="I147" s="17" t="str">
        <f t="shared" si="6"/>
        <v/>
      </c>
      <c r="J147" s="17" t="str">
        <f t="shared" si="7"/>
        <v/>
      </c>
      <c r="K147" s="17" t="str">
        <f>IF(I147="","",IF(I147&lt;=Скали!$B$1,"да","не"))</f>
        <v/>
      </c>
      <c r="L147" s="16"/>
      <c r="M147" s="16"/>
      <c r="N147" s="16"/>
      <c r="O147" s="16"/>
      <c r="P147" s="16"/>
      <c r="Q147" s="16"/>
      <c r="R147" s="17" t="str">
        <f t="shared" si="8"/>
        <v/>
      </c>
      <c r="S147" s="16"/>
    </row>
    <row r="148" spans="1:19" x14ac:dyDescent="0.3">
      <c r="A148" s="16"/>
      <c r="B148" s="16"/>
      <c r="C148" s="16"/>
      <c r="D148" s="16"/>
      <c r="E148" s="16"/>
      <c r="F148" s="16"/>
      <c r="G148" s="16"/>
      <c r="H148" s="16"/>
      <c r="I148" s="17" t="str">
        <f t="shared" si="6"/>
        <v/>
      </c>
      <c r="J148" s="17" t="str">
        <f t="shared" si="7"/>
        <v/>
      </c>
      <c r="K148" s="17" t="str">
        <f>IF(I148="","",IF(I148&lt;=Скали!$B$1,"да","не"))</f>
        <v/>
      </c>
      <c r="L148" s="16"/>
      <c r="M148" s="16"/>
      <c r="N148" s="16"/>
      <c r="O148" s="16"/>
      <c r="P148" s="16"/>
      <c r="Q148" s="16"/>
      <c r="R148" s="17" t="str">
        <f t="shared" si="8"/>
        <v/>
      </c>
      <c r="S148" s="16"/>
    </row>
    <row r="149" spans="1:19" x14ac:dyDescent="0.3">
      <c r="A149" s="16"/>
      <c r="B149" s="16"/>
      <c r="C149" s="16"/>
      <c r="D149" s="16"/>
      <c r="E149" s="16"/>
      <c r="F149" s="16"/>
      <c r="G149" s="16"/>
      <c r="H149" s="16"/>
      <c r="I149" s="17" t="str">
        <f t="shared" si="6"/>
        <v/>
      </c>
      <c r="J149" s="17" t="str">
        <f t="shared" si="7"/>
        <v/>
      </c>
      <c r="K149" s="17" t="str">
        <f>IF(I149="","",IF(I149&lt;=Скали!$B$1,"да","не"))</f>
        <v/>
      </c>
      <c r="L149" s="16"/>
      <c r="M149" s="16"/>
      <c r="N149" s="16"/>
      <c r="O149" s="16"/>
      <c r="P149" s="16"/>
      <c r="Q149" s="16"/>
      <c r="R149" s="17" t="str">
        <f t="shared" si="8"/>
        <v/>
      </c>
      <c r="S149" s="16"/>
    </row>
    <row r="150" spans="1:19" x14ac:dyDescent="0.3">
      <c r="A150" s="16"/>
      <c r="B150" s="16"/>
      <c r="C150" s="16"/>
      <c r="D150" s="16"/>
      <c r="E150" s="16"/>
      <c r="F150" s="16"/>
      <c r="G150" s="16"/>
      <c r="H150" s="16"/>
      <c r="I150" s="17" t="str">
        <f t="shared" si="6"/>
        <v/>
      </c>
      <c r="J150" s="17" t="str">
        <f t="shared" si="7"/>
        <v/>
      </c>
      <c r="K150" s="17" t="str">
        <f>IF(I150="","",IF(I150&lt;=Скали!$B$1,"да","не"))</f>
        <v/>
      </c>
      <c r="L150" s="16"/>
      <c r="M150" s="16"/>
      <c r="N150" s="16"/>
      <c r="O150" s="16"/>
      <c r="P150" s="16"/>
      <c r="Q150" s="16"/>
      <c r="R150" s="17" t="str">
        <f t="shared" si="8"/>
        <v/>
      </c>
      <c r="S150" s="16"/>
    </row>
    <row r="151" spans="1:19" x14ac:dyDescent="0.3">
      <c r="A151" s="16"/>
      <c r="B151" s="16"/>
      <c r="C151" s="16"/>
      <c r="D151" s="16"/>
      <c r="E151" s="16"/>
      <c r="F151" s="16"/>
      <c r="G151" s="16"/>
      <c r="H151" s="16"/>
      <c r="I151" s="17" t="str">
        <f t="shared" si="6"/>
        <v/>
      </c>
      <c r="J151" s="17" t="str">
        <f t="shared" si="7"/>
        <v/>
      </c>
      <c r="K151" s="17" t="str">
        <f>IF(I151="","",IF(I151&lt;=Скали!$B$1,"да","не"))</f>
        <v/>
      </c>
      <c r="L151" s="16"/>
      <c r="M151" s="16"/>
      <c r="N151" s="16"/>
      <c r="O151" s="16"/>
      <c r="P151" s="16"/>
      <c r="Q151" s="16"/>
      <c r="R151" s="17" t="str">
        <f t="shared" si="8"/>
        <v/>
      </c>
      <c r="S151" s="16"/>
    </row>
    <row r="152" spans="1:19" x14ac:dyDescent="0.3">
      <c r="A152" s="16"/>
      <c r="B152" s="16"/>
      <c r="C152" s="16"/>
      <c r="D152" s="16"/>
      <c r="E152" s="16"/>
      <c r="F152" s="16"/>
      <c r="G152" s="16"/>
      <c r="H152" s="16"/>
      <c r="I152" s="17" t="str">
        <f t="shared" si="6"/>
        <v/>
      </c>
      <c r="J152" s="17" t="str">
        <f t="shared" si="7"/>
        <v/>
      </c>
      <c r="K152" s="17" t="str">
        <f>IF(I152="","",IF(I152&lt;=Скали!$B$1,"да","не"))</f>
        <v/>
      </c>
      <c r="L152" s="16"/>
      <c r="M152" s="16"/>
      <c r="N152" s="16"/>
      <c r="O152" s="16"/>
      <c r="P152" s="16"/>
      <c r="Q152" s="16"/>
      <c r="R152" s="17" t="str">
        <f t="shared" si="8"/>
        <v/>
      </c>
      <c r="S152" s="16"/>
    </row>
    <row r="153" spans="1:19" x14ac:dyDescent="0.3">
      <c r="A153" s="16"/>
      <c r="B153" s="16"/>
      <c r="C153" s="16"/>
      <c r="D153" s="16"/>
      <c r="E153" s="16"/>
      <c r="F153" s="16"/>
      <c r="G153" s="16"/>
      <c r="H153" s="16"/>
      <c r="I153" s="17" t="str">
        <f t="shared" si="6"/>
        <v/>
      </c>
      <c r="J153" s="17" t="str">
        <f t="shared" si="7"/>
        <v/>
      </c>
      <c r="K153" s="17" t="str">
        <f>IF(I153="","",IF(I153&lt;=Скали!$B$1,"да","не"))</f>
        <v/>
      </c>
      <c r="L153" s="16"/>
      <c r="M153" s="16"/>
      <c r="N153" s="16"/>
      <c r="O153" s="16"/>
      <c r="P153" s="16"/>
      <c r="Q153" s="16"/>
      <c r="R153" s="17" t="str">
        <f t="shared" si="8"/>
        <v/>
      </c>
      <c r="S153" s="16"/>
    </row>
    <row r="154" spans="1:19" x14ac:dyDescent="0.3">
      <c r="A154" s="16"/>
      <c r="B154" s="16"/>
      <c r="C154" s="16"/>
      <c r="D154" s="16"/>
      <c r="E154" s="16"/>
      <c r="F154" s="16"/>
      <c r="G154" s="16"/>
      <c r="H154" s="16"/>
      <c r="I154" s="17" t="str">
        <f t="shared" si="6"/>
        <v/>
      </c>
      <c r="J154" s="17" t="str">
        <f t="shared" si="7"/>
        <v/>
      </c>
      <c r="K154" s="17" t="str">
        <f>IF(I154="","",IF(I154&lt;=Скали!$B$1,"да","не"))</f>
        <v/>
      </c>
      <c r="L154" s="16"/>
      <c r="M154" s="16"/>
      <c r="N154" s="16"/>
      <c r="O154" s="16"/>
      <c r="P154" s="16"/>
      <c r="Q154" s="16"/>
      <c r="R154" s="17" t="str">
        <f t="shared" si="8"/>
        <v/>
      </c>
      <c r="S154" s="16"/>
    </row>
    <row r="155" spans="1:19" x14ac:dyDescent="0.3">
      <c r="A155" s="16"/>
      <c r="B155" s="16"/>
      <c r="C155" s="16"/>
      <c r="D155" s="16"/>
      <c r="E155" s="16"/>
      <c r="F155" s="16"/>
      <c r="G155" s="16"/>
      <c r="H155" s="16"/>
      <c r="I155" s="17" t="str">
        <f t="shared" si="6"/>
        <v/>
      </c>
      <c r="J155" s="17" t="str">
        <f t="shared" si="7"/>
        <v/>
      </c>
      <c r="K155" s="17" t="str">
        <f>IF(I155="","",IF(I155&lt;=Скали!$B$1,"да","не"))</f>
        <v/>
      </c>
      <c r="L155" s="16"/>
      <c r="M155" s="16"/>
      <c r="N155" s="16"/>
      <c r="O155" s="16"/>
      <c r="P155" s="16"/>
      <c r="Q155" s="16"/>
      <c r="R155" s="17" t="str">
        <f t="shared" si="8"/>
        <v/>
      </c>
      <c r="S155" s="16"/>
    </row>
    <row r="156" spans="1:19" x14ac:dyDescent="0.3">
      <c r="A156" s="16"/>
      <c r="B156" s="16"/>
      <c r="C156" s="16"/>
      <c r="D156" s="16"/>
      <c r="E156" s="16"/>
      <c r="F156" s="16"/>
      <c r="G156" s="16"/>
      <c r="H156" s="16"/>
      <c r="I156" s="17" t="str">
        <f t="shared" si="6"/>
        <v/>
      </c>
      <c r="J156" s="17" t="str">
        <f t="shared" si="7"/>
        <v/>
      </c>
      <c r="K156" s="17" t="str">
        <f>IF(I156="","",IF(I156&lt;=Скали!$B$1,"да","не"))</f>
        <v/>
      </c>
      <c r="L156" s="16"/>
      <c r="M156" s="16"/>
      <c r="N156" s="16"/>
      <c r="O156" s="16"/>
      <c r="P156" s="16"/>
      <c r="Q156" s="16"/>
      <c r="R156" s="17" t="str">
        <f t="shared" si="8"/>
        <v/>
      </c>
      <c r="S156" s="16"/>
    </row>
    <row r="157" spans="1:19" x14ac:dyDescent="0.3">
      <c r="A157" s="16"/>
      <c r="B157" s="16"/>
      <c r="C157" s="16"/>
      <c r="D157" s="16"/>
      <c r="E157" s="16"/>
      <c r="F157" s="16"/>
      <c r="G157" s="16"/>
      <c r="H157" s="16"/>
      <c r="I157" s="17" t="str">
        <f t="shared" si="6"/>
        <v/>
      </c>
      <c r="J157" s="17" t="str">
        <f t="shared" si="7"/>
        <v/>
      </c>
      <c r="K157" s="17" t="str">
        <f>IF(I157="","",IF(I157&lt;=Скали!$B$1,"да","не"))</f>
        <v/>
      </c>
      <c r="L157" s="16"/>
      <c r="M157" s="16"/>
      <c r="N157" s="16"/>
      <c r="O157" s="16"/>
      <c r="P157" s="16"/>
      <c r="Q157" s="16"/>
      <c r="R157" s="17" t="str">
        <f t="shared" si="8"/>
        <v/>
      </c>
      <c r="S157" s="16"/>
    </row>
    <row r="158" spans="1:19" x14ac:dyDescent="0.3">
      <c r="A158" s="16"/>
      <c r="B158" s="16"/>
      <c r="C158" s="16"/>
      <c r="D158" s="16"/>
      <c r="E158" s="16"/>
      <c r="F158" s="16"/>
      <c r="G158" s="16"/>
      <c r="H158" s="16"/>
      <c r="I158" s="17" t="str">
        <f t="shared" si="6"/>
        <v/>
      </c>
      <c r="J158" s="17" t="str">
        <f t="shared" si="7"/>
        <v/>
      </c>
      <c r="K158" s="17" t="str">
        <f>IF(I158="","",IF(I158&lt;=Скали!$B$1,"да","не"))</f>
        <v/>
      </c>
      <c r="L158" s="16"/>
      <c r="M158" s="16"/>
      <c r="N158" s="16"/>
      <c r="O158" s="16"/>
      <c r="P158" s="16"/>
      <c r="Q158" s="16"/>
      <c r="R158" s="17" t="str">
        <f t="shared" si="8"/>
        <v/>
      </c>
      <c r="S158" s="16"/>
    </row>
    <row r="159" spans="1:19" x14ac:dyDescent="0.3">
      <c r="A159" s="16"/>
      <c r="B159" s="16"/>
      <c r="C159" s="16"/>
      <c r="D159" s="16"/>
      <c r="E159" s="16"/>
      <c r="F159" s="16"/>
      <c r="G159" s="16"/>
      <c r="H159" s="16"/>
      <c r="I159" s="17" t="str">
        <f t="shared" si="6"/>
        <v/>
      </c>
      <c r="J159" s="17" t="str">
        <f t="shared" si="7"/>
        <v/>
      </c>
      <c r="K159" s="17" t="str">
        <f>IF(I159="","",IF(I159&lt;=Скали!$B$1,"да","не"))</f>
        <v/>
      </c>
      <c r="L159" s="16"/>
      <c r="M159" s="16"/>
      <c r="N159" s="16"/>
      <c r="O159" s="16"/>
      <c r="P159" s="16"/>
      <c r="Q159" s="16"/>
      <c r="R159" s="17" t="str">
        <f t="shared" si="8"/>
        <v/>
      </c>
      <c r="S159" s="16"/>
    </row>
    <row r="160" spans="1:19" x14ac:dyDescent="0.3">
      <c r="A160" s="16"/>
      <c r="B160" s="16"/>
      <c r="C160" s="16"/>
      <c r="D160" s="16"/>
      <c r="E160" s="16"/>
      <c r="F160" s="16"/>
      <c r="G160" s="16"/>
      <c r="H160" s="16"/>
      <c r="I160" s="17" t="str">
        <f t="shared" si="6"/>
        <v/>
      </c>
      <c r="J160" s="17" t="str">
        <f t="shared" si="7"/>
        <v/>
      </c>
      <c r="K160" s="17" t="str">
        <f>IF(I160="","",IF(I160&lt;=Скали!$B$1,"да","не"))</f>
        <v/>
      </c>
      <c r="L160" s="16"/>
      <c r="M160" s="16"/>
      <c r="N160" s="16"/>
      <c r="O160" s="16"/>
      <c r="P160" s="16"/>
      <c r="Q160" s="16"/>
      <c r="R160" s="17" t="str">
        <f t="shared" si="8"/>
        <v/>
      </c>
      <c r="S160" s="16"/>
    </row>
    <row r="161" spans="1:19" x14ac:dyDescent="0.3">
      <c r="A161" s="16"/>
      <c r="B161" s="16"/>
      <c r="C161" s="16"/>
      <c r="D161" s="16"/>
      <c r="E161" s="16"/>
      <c r="F161" s="16"/>
      <c r="G161" s="16"/>
      <c r="H161" s="16"/>
      <c r="I161" s="17" t="str">
        <f t="shared" si="6"/>
        <v/>
      </c>
      <c r="J161" s="17" t="str">
        <f t="shared" si="7"/>
        <v/>
      </c>
      <c r="K161" s="17" t="str">
        <f>IF(I161="","",IF(I161&lt;=Скали!$B$1,"да","не"))</f>
        <v/>
      </c>
      <c r="L161" s="16"/>
      <c r="M161" s="16"/>
      <c r="N161" s="16"/>
      <c r="O161" s="16"/>
      <c r="P161" s="16"/>
      <c r="Q161" s="16"/>
      <c r="R161" s="17" t="str">
        <f t="shared" si="8"/>
        <v/>
      </c>
      <c r="S161" s="16"/>
    </row>
    <row r="162" spans="1:19" x14ac:dyDescent="0.3">
      <c r="A162" s="16"/>
      <c r="B162" s="16"/>
      <c r="C162" s="16"/>
      <c r="D162" s="16"/>
      <c r="E162" s="16"/>
      <c r="F162" s="16"/>
      <c r="G162" s="16"/>
      <c r="H162" s="16"/>
      <c r="I162" s="17" t="str">
        <f t="shared" si="6"/>
        <v/>
      </c>
      <c r="J162" s="17" t="str">
        <f t="shared" si="7"/>
        <v/>
      </c>
      <c r="K162" s="17" t="str">
        <f>IF(I162="","",IF(I162&lt;=Скали!$B$1,"да","не"))</f>
        <v/>
      </c>
      <c r="L162" s="16"/>
      <c r="M162" s="16"/>
      <c r="N162" s="16"/>
      <c r="O162" s="16"/>
      <c r="P162" s="16"/>
      <c r="Q162" s="16"/>
      <c r="R162" s="17" t="str">
        <f t="shared" si="8"/>
        <v/>
      </c>
      <c r="S162" s="16"/>
    </row>
    <row r="163" spans="1:19" x14ac:dyDescent="0.3">
      <c r="A163" s="16"/>
      <c r="B163" s="16"/>
      <c r="C163" s="16"/>
      <c r="D163" s="16"/>
      <c r="E163" s="16"/>
      <c r="F163" s="16"/>
      <c r="G163" s="16"/>
      <c r="H163" s="16"/>
      <c r="I163" s="17" t="str">
        <f t="shared" si="6"/>
        <v/>
      </c>
      <c r="J163" s="17" t="str">
        <f t="shared" si="7"/>
        <v/>
      </c>
      <c r="K163" s="17" t="str">
        <f>IF(I163="","",IF(I163&lt;=Скали!$B$1,"да","не"))</f>
        <v/>
      </c>
      <c r="L163" s="16"/>
      <c r="M163" s="16"/>
      <c r="N163" s="16"/>
      <c r="O163" s="16"/>
      <c r="P163" s="16"/>
      <c r="Q163" s="16"/>
      <c r="R163" s="17" t="str">
        <f t="shared" si="8"/>
        <v/>
      </c>
      <c r="S163" s="16"/>
    </row>
    <row r="164" spans="1:19" x14ac:dyDescent="0.3">
      <c r="A164" s="16"/>
      <c r="B164" s="16"/>
      <c r="C164" s="16"/>
      <c r="D164" s="16"/>
      <c r="E164" s="16"/>
      <c r="F164" s="16"/>
      <c r="G164" s="16"/>
      <c r="H164" s="16"/>
      <c r="I164" s="17" t="str">
        <f t="shared" si="6"/>
        <v/>
      </c>
      <c r="J164" s="17" t="str">
        <f t="shared" si="7"/>
        <v/>
      </c>
      <c r="K164" s="17" t="str">
        <f>IF(I164="","",IF(I164&lt;=Скали!$B$1,"да","не"))</f>
        <v/>
      </c>
      <c r="L164" s="16"/>
      <c r="M164" s="16"/>
      <c r="N164" s="16"/>
      <c r="O164" s="16"/>
      <c r="P164" s="16"/>
      <c r="Q164" s="16"/>
      <c r="R164" s="17" t="str">
        <f t="shared" si="8"/>
        <v/>
      </c>
      <c r="S164" s="16"/>
    </row>
    <row r="165" spans="1:19" x14ac:dyDescent="0.3">
      <c r="A165" s="16"/>
      <c r="B165" s="16"/>
      <c r="C165" s="16"/>
      <c r="D165" s="16"/>
      <c r="E165" s="16"/>
      <c r="F165" s="16"/>
      <c r="G165" s="16"/>
      <c r="H165" s="16"/>
      <c r="I165" s="17" t="str">
        <f t="shared" si="6"/>
        <v/>
      </c>
      <c r="J165" s="17" t="str">
        <f t="shared" si="7"/>
        <v/>
      </c>
      <c r="K165" s="17" t="str">
        <f>IF(I165="","",IF(I165&lt;=Скали!$B$1,"да","не"))</f>
        <v/>
      </c>
      <c r="L165" s="16"/>
      <c r="M165" s="16"/>
      <c r="N165" s="16"/>
      <c r="O165" s="16"/>
      <c r="P165" s="16"/>
      <c r="Q165" s="16"/>
      <c r="R165" s="17" t="str">
        <f t="shared" si="8"/>
        <v/>
      </c>
      <c r="S165" s="16"/>
    </row>
    <row r="166" spans="1:19" x14ac:dyDescent="0.3">
      <c r="A166" s="16"/>
      <c r="B166" s="16"/>
      <c r="C166" s="16"/>
      <c r="D166" s="16"/>
      <c r="E166" s="16"/>
      <c r="F166" s="16"/>
      <c r="G166" s="16"/>
      <c r="H166" s="16"/>
      <c r="I166" s="17" t="str">
        <f t="shared" si="6"/>
        <v/>
      </c>
      <c r="J166" s="17" t="str">
        <f t="shared" si="7"/>
        <v/>
      </c>
      <c r="K166" s="17" t="str">
        <f>IF(I166="","",IF(I166&lt;=Скали!$B$1,"да","не"))</f>
        <v/>
      </c>
      <c r="L166" s="16"/>
      <c r="M166" s="16"/>
      <c r="N166" s="16"/>
      <c r="O166" s="16"/>
      <c r="P166" s="16"/>
      <c r="Q166" s="16"/>
      <c r="R166" s="17" t="str">
        <f t="shared" si="8"/>
        <v/>
      </c>
      <c r="S166" s="16"/>
    </row>
    <row r="167" spans="1:19" x14ac:dyDescent="0.3">
      <c r="A167" s="16"/>
      <c r="B167" s="16"/>
      <c r="C167" s="16"/>
      <c r="D167" s="16"/>
      <c r="E167" s="16"/>
      <c r="F167" s="16"/>
      <c r="G167" s="16"/>
      <c r="H167" s="16"/>
      <c r="I167" s="17" t="str">
        <f t="shared" si="6"/>
        <v/>
      </c>
      <c r="J167" s="17" t="str">
        <f t="shared" si="7"/>
        <v/>
      </c>
      <c r="K167" s="17" t="str">
        <f>IF(I167="","",IF(I167&lt;=Скали!$B$1,"да","не"))</f>
        <v/>
      </c>
      <c r="L167" s="16"/>
      <c r="M167" s="16"/>
      <c r="N167" s="16"/>
      <c r="O167" s="16"/>
      <c r="P167" s="16"/>
      <c r="Q167" s="16"/>
      <c r="R167" s="17" t="str">
        <f t="shared" si="8"/>
        <v/>
      </c>
      <c r="S167" s="16"/>
    </row>
    <row r="168" spans="1:19" x14ac:dyDescent="0.3">
      <c r="A168" s="16"/>
      <c r="B168" s="16"/>
      <c r="C168" s="16"/>
      <c r="D168" s="16"/>
      <c r="E168" s="16"/>
      <c r="F168" s="16"/>
      <c r="G168" s="16"/>
      <c r="H168" s="16"/>
      <c r="I168" s="17" t="str">
        <f t="shared" si="6"/>
        <v/>
      </c>
      <c r="J168" s="17" t="str">
        <f t="shared" si="7"/>
        <v/>
      </c>
      <c r="K168" s="17" t="str">
        <f>IF(I168="","",IF(I168&lt;=Скали!$B$1,"да","не"))</f>
        <v/>
      </c>
      <c r="L168" s="16"/>
      <c r="M168" s="16"/>
      <c r="N168" s="16"/>
      <c r="O168" s="16"/>
      <c r="P168" s="16"/>
      <c r="Q168" s="16"/>
      <c r="R168" s="17" t="str">
        <f t="shared" si="8"/>
        <v/>
      </c>
      <c r="S168" s="16"/>
    </row>
    <row r="169" spans="1:19" x14ac:dyDescent="0.3">
      <c r="A169" s="16"/>
      <c r="B169" s="16"/>
      <c r="C169" s="16"/>
      <c r="D169" s="16"/>
      <c r="E169" s="16"/>
      <c r="F169" s="16"/>
      <c r="G169" s="16"/>
      <c r="H169" s="16"/>
      <c r="I169" s="17" t="str">
        <f t="shared" si="6"/>
        <v/>
      </c>
      <c r="J169" s="17" t="str">
        <f t="shared" si="7"/>
        <v/>
      </c>
      <c r="K169" s="17" t="str">
        <f>IF(I169="","",IF(I169&lt;=Скали!$B$1,"да","не"))</f>
        <v/>
      </c>
      <c r="L169" s="16"/>
      <c r="M169" s="16"/>
      <c r="N169" s="16"/>
      <c r="O169" s="16"/>
      <c r="P169" s="16"/>
      <c r="Q169" s="16"/>
      <c r="R169" s="17" t="str">
        <f t="shared" si="8"/>
        <v/>
      </c>
      <c r="S169" s="16"/>
    </row>
    <row r="170" spans="1:19" x14ac:dyDescent="0.3">
      <c r="A170" s="16"/>
      <c r="B170" s="16"/>
      <c r="C170" s="16"/>
      <c r="D170" s="16"/>
      <c r="E170" s="16"/>
      <c r="F170" s="16"/>
      <c r="G170" s="16"/>
      <c r="H170" s="16"/>
      <c r="I170" s="17" t="str">
        <f t="shared" si="6"/>
        <v/>
      </c>
      <c r="J170" s="17" t="str">
        <f t="shared" si="7"/>
        <v/>
      </c>
      <c r="K170" s="17" t="str">
        <f>IF(I170="","",IF(I170&lt;=Скали!$B$1,"да","не"))</f>
        <v/>
      </c>
      <c r="L170" s="16"/>
      <c r="M170" s="16"/>
      <c r="N170" s="16"/>
      <c r="O170" s="16"/>
      <c r="P170" s="16"/>
      <c r="Q170" s="16"/>
      <c r="R170" s="17" t="str">
        <f t="shared" si="8"/>
        <v/>
      </c>
      <c r="S170" s="16"/>
    </row>
    <row r="171" spans="1:19" x14ac:dyDescent="0.3">
      <c r="A171" s="16"/>
      <c r="B171" s="16"/>
      <c r="C171" s="16"/>
      <c r="D171" s="16"/>
      <c r="E171" s="16"/>
      <c r="F171" s="16"/>
      <c r="G171" s="16"/>
      <c r="H171" s="16"/>
      <c r="I171" s="17" t="str">
        <f t="shared" si="6"/>
        <v/>
      </c>
      <c r="J171" s="17" t="str">
        <f t="shared" si="7"/>
        <v/>
      </c>
      <c r="K171" s="17" t="str">
        <f>IF(I171="","",IF(I171&lt;=Скали!$B$1,"да","не"))</f>
        <v/>
      </c>
      <c r="L171" s="16"/>
      <c r="M171" s="16"/>
      <c r="N171" s="16"/>
      <c r="O171" s="16"/>
      <c r="P171" s="16"/>
      <c r="Q171" s="16"/>
      <c r="R171" s="17" t="str">
        <f t="shared" si="8"/>
        <v/>
      </c>
      <c r="S171" s="16"/>
    </row>
    <row r="172" spans="1:19" x14ac:dyDescent="0.3">
      <c r="A172" s="16"/>
      <c r="B172" s="16"/>
      <c r="C172" s="16"/>
      <c r="D172" s="16"/>
      <c r="E172" s="16"/>
      <c r="F172" s="16"/>
      <c r="G172" s="16"/>
      <c r="H172" s="16"/>
      <c r="I172" s="17" t="str">
        <f t="shared" si="6"/>
        <v/>
      </c>
      <c r="J172" s="17" t="str">
        <f t="shared" si="7"/>
        <v/>
      </c>
      <c r="K172" s="17" t="str">
        <f>IF(I172="","",IF(I172&lt;=Скали!$B$1,"да","не"))</f>
        <v/>
      </c>
      <c r="L172" s="16"/>
      <c r="M172" s="16"/>
      <c r="N172" s="16"/>
      <c r="O172" s="16"/>
      <c r="P172" s="16"/>
      <c r="Q172" s="16"/>
      <c r="R172" s="17" t="str">
        <f t="shared" si="8"/>
        <v/>
      </c>
      <c r="S172" s="16"/>
    </row>
    <row r="173" spans="1:19" x14ac:dyDescent="0.3">
      <c r="A173" s="16"/>
      <c r="B173" s="16"/>
      <c r="C173" s="16"/>
      <c r="D173" s="16"/>
      <c r="E173" s="16"/>
      <c r="F173" s="16"/>
      <c r="G173" s="16"/>
      <c r="H173" s="16"/>
      <c r="I173" s="17" t="str">
        <f t="shared" si="6"/>
        <v/>
      </c>
      <c r="J173" s="17" t="str">
        <f t="shared" si="7"/>
        <v/>
      </c>
      <c r="K173" s="17" t="str">
        <f>IF(I173="","",IF(I173&lt;=Скали!$B$1,"да","не"))</f>
        <v/>
      </c>
      <c r="L173" s="16"/>
      <c r="M173" s="16"/>
      <c r="N173" s="16"/>
      <c r="O173" s="16"/>
      <c r="P173" s="16"/>
      <c r="Q173" s="16"/>
      <c r="R173" s="17" t="str">
        <f t="shared" si="8"/>
        <v/>
      </c>
      <c r="S173" s="16"/>
    </row>
    <row r="174" spans="1:19" x14ac:dyDescent="0.3">
      <c r="A174" s="16"/>
      <c r="B174" s="16"/>
      <c r="C174" s="16"/>
      <c r="D174" s="16"/>
      <c r="E174" s="16"/>
      <c r="F174" s="16"/>
      <c r="G174" s="16"/>
      <c r="H174" s="16"/>
      <c r="I174" s="17" t="str">
        <f t="shared" si="6"/>
        <v/>
      </c>
      <c r="J174" s="17" t="str">
        <f t="shared" si="7"/>
        <v/>
      </c>
      <c r="K174" s="17" t="str">
        <f>IF(I174="","",IF(I174&lt;=Скали!$B$1,"да","не"))</f>
        <v/>
      </c>
      <c r="L174" s="16"/>
      <c r="M174" s="16"/>
      <c r="N174" s="16"/>
      <c r="O174" s="16"/>
      <c r="P174" s="16"/>
      <c r="Q174" s="16"/>
      <c r="R174" s="17" t="str">
        <f t="shared" si="8"/>
        <v/>
      </c>
      <c r="S174" s="16"/>
    </row>
    <row r="175" spans="1:19" x14ac:dyDescent="0.3">
      <c r="A175" s="16"/>
      <c r="B175" s="16"/>
      <c r="C175" s="16"/>
      <c r="D175" s="16"/>
      <c r="E175" s="16"/>
      <c r="F175" s="16"/>
      <c r="G175" s="16"/>
      <c r="H175" s="16"/>
      <c r="I175" s="17" t="str">
        <f t="shared" si="6"/>
        <v/>
      </c>
      <c r="J175" s="17" t="str">
        <f t="shared" si="7"/>
        <v/>
      </c>
      <c r="K175" s="17" t="str">
        <f>IF(I175="","",IF(I175&lt;=Скали!$B$1,"да","не"))</f>
        <v/>
      </c>
      <c r="L175" s="16"/>
      <c r="M175" s="16"/>
      <c r="N175" s="16"/>
      <c r="O175" s="16"/>
      <c r="P175" s="16"/>
      <c r="Q175" s="16"/>
      <c r="R175" s="17" t="str">
        <f t="shared" si="8"/>
        <v/>
      </c>
      <c r="S175" s="16"/>
    </row>
    <row r="176" spans="1:19" x14ac:dyDescent="0.3">
      <c r="A176" s="16"/>
      <c r="B176" s="16"/>
      <c r="C176" s="16"/>
      <c r="D176" s="16"/>
      <c r="E176" s="16"/>
      <c r="F176" s="16"/>
      <c r="G176" s="16"/>
      <c r="H176" s="16"/>
      <c r="I176" s="17" t="str">
        <f t="shared" si="6"/>
        <v/>
      </c>
      <c r="J176" s="17" t="str">
        <f t="shared" si="7"/>
        <v/>
      </c>
      <c r="K176" s="17" t="str">
        <f>IF(I176="","",IF(I176&lt;=Скали!$B$1,"да","не"))</f>
        <v/>
      </c>
      <c r="L176" s="16"/>
      <c r="M176" s="16"/>
      <c r="N176" s="16"/>
      <c r="O176" s="16"/>
      <c r="P176" s="16"/>
      <c r="Q176" s="16"/>
      <c r="R176" s="17" t="str">
        <f t="shared" si="8"/>
        <v/>
      </c>
      <c r="S176" s="16"/>
    </row>
    <row r="177" spans="1:19" x14ac:dyDescent="0.3">
      <c r="A177" s="16"/>
      <c r="B177" s="16"/>
      <c r="C177" s="16"/>
      <c r="D177" s="16"/>
      <c r="E177" s="16"/>
      <c r="F177" s="16"/>
      <c r="G177" s="16"/>
      <c r="H177" s="16"/>
      <c r="I177" s="17" t="str">
        <f t="shared" si="6"/>
        <v/>
      </c>
      <c r="J177" s="17" t="str">
        <f t="shared" si="7"/>
        <v/>
      </c>
      <c r="K177" s="17" t="str">
        <f>IF(I177="","",IF(I177&lt;=Скали!$B$1,"да","не"))</f>
        <v/>
      </c>
      <c r="L177" s="16"/>
      <c r="M177" s="16"/>
      <c r="N177" s="16"/>
      <c r="O177" s="16"/>
      <c r="P177" s="16"/>
      <c r="Q177" s="16"/>
      <c r="R177" s="17" t="str">
        <f t="shared" si="8"/>
        <v/>
      </c>
      <c r="S177" s="16"/>
    </row>
    <row r="178" spans="1:19" x14ac:dyDescent="0.3">
      <c r="A178" s="16"/>
      <c r="B178" s="16"/>
      <c r="C178" s="16"/>
      <c r="D178" s="16"/>
      <c r="E178" s="16"/>
      <c r="F178" s="16"/>
      <c r="G178" s="16"/>
      <c r="H178" s="16"/>
      <c r="I178" s="17" t="str">
        <f t="shared" si="6"/>
        <v/>
      </c>
      <c r="J178" s="17" t="str">
        <f t="shared" si="7"/>
        <v/>
      </c>
      <c r="K178" s="17" t="str">
        <f>IF(I178="","",IF(I178&lt;=Скали!$B$1,"да","не"))</f>
        <v/>
      </c>
      <c r="L178" s="16"/>
      <c r="M178" s="16"/>
      <c r="N178" s="16"/>
      <c r="O178" s="16"/>
      <c r="P178" s="16"/>
      <c r="Q178" s="16"/>
      <c r="R178" s="17" t="str">
        <f t="shared" si="8"/>
        <v/>
      </c>
      <c r="S178" s="16"/>
    </row>
    <row r="179" spans="1:19" x14ac:dyDescent="0.3">
      <c r="A179" s="16"/>
      <c r="B179" s="16"/>
      <c r="C179" s="16"/>
      <c r="D179" s="16"/>
      <c r="E179" s="16"/>
      <c r="F179" s="16"/>
      <c r="G179" s="16"/>
      <c r="H179" s="16"/>
      <c r="I179" s="17" t="str">
        <f t="shared" si="6"/>
        <v/>
      </c>
      <c r="J179" s="17" t="str">
        <f t="shared" si="7"/>
        <v/>
      </c>
      <c r="K179" s="17" t="str">
        <f>IF(I179="","",IF(I179&lt;=Скали!$B$1,"да","не"))</f>
        <v/>
      </c>
      <c r="L179" s="16"/>
      <c r="M179" s="16"/>
      <c r="N179" s="16"/>
      <c r="O179" s="16"/>
      <c r="P179" s="16"/>
      <c r="Q179" s="16"/>
      <c r="R179" s="17" t="str">
        <f t="shared" si="8"/>
        <v/>
      </c>
      <c r="S179" s="16"/>
    </row>
    <row r="180" spans="1:19" x14ac:dyDescent="0.3">
      <c r="A180" s="16"/>
      <c r="B180" s="16"/>
      <c r="C180" s="16"/>
      <c r="D180" s="16"/>
      <c r="E180" s="16"/>
      <c r="F180" s="16"/>
      <c r="G180" s="16"/>
      <c r="H180" s="16"/>
      <c r="I180" s="17" t="str">
        <f t="shared" si="6"/>
        <v/>
      </c>
      <c r="J180" s="17" t="str">
        <f t="shared" si="7"/>
        <v/>
      </c>
      <c r="K180" s="17" t="str">
        <f>IF(I180="","",IF(I180&lt;=Скали!$B$1,"да","не"))</f>
        <v/>
      </c>
      <c r="L180" s="16"/>
      <c r="M180" s="16"/>
      <c r="N180" s="16"/>
      <c r="O180" s="16"/>
      <c r="P180" s="16"/>
      <c r="Q180" s="16"/>
      <c r="R180" s="17" t="str">
        <f t="shared" si="8"/>
        <v/>
      </c>
      <c r="S180" s="16"/>
    </row>
    <row r="181" spans="1:19" x14ac:dyDescent="0.3">
      <c r="A181" s="16"/>
      <c r="B181" s="16"/>
      <c r="C181" s="16"/>
      <c r="D181" s="16"/>
      <c r="E181" s="16"/>
      <c r="F181" s="16"/>
      <c r="G181" s="16"/>
      <c r="H181" s="16"/>
      <c r="I181" s="17" t="str">
        <f t="shared" si="6"/>
        <v/>
      </c>
      <c r="J181" s="17" t="str">
        <f t="shared" si="7"/>
        <v/>
      </c>
      <c r="K181" s="17" t="str">
        <f>IF(I181="","",IF(I181&lt;=Скали!$B$1,"да","не"))</f>
        <v/>
      </c>
      <c r="L181" s="16"/>
      <c r="M181" s="16"/>
      <c r="N181" s="16"/>
      <c r="O181" s="16"/>
      <c r="P181" s="16"/>
      <c r="Q181" s="16"/>
      <c r="R181" s="17" t="str">
        <f t="shared" si="8"/>
        <v/>
      </c>
      <c r="S181" s="16"/>
    </row>
    <row r="182" spans="1:19" x14ac:dyDescent="0.3">
      <c r="A182" s="16"/>
      <c r="B182" s="16"/>
      <c r="C182" s="16"/>
      <c r="D182" s="16"/>
      <c r="E182" s="16"/>
      <c r="F182" s="16"/>
      <c r="G182" s="16"/>
      <c r="H182" s="16"/>
      <c r="I182" s="17" t="str">
        <f t="shared" si="6"/>
        <v/>
      </c>
      <c r="J182" s="17" t="str">
        <f t="shared" si="7"/>
        <v/>
      </c>
      <c r="K182" s="17" t="str">
        <f>IF(I182="","",IF(I182&lt;=Скали!$B$1,"да","не"))</f>
        <v/>
      </c>
      <c r="L182" s="16"/>
      <c r="M182" s="16"/>
      <c r="N182" s="16"/>
      <c r="O182" s="16"/>
      <c r="P182" s="16"/>
      <c r="Q182" s="16"/>
      <c r="R182" s="17" t="str">
        <f t="shared" si="8"/>
        <v/>
      </c>
      <c r="S182" s="16"/>
    </row>
    <row r="183" spans="1:19" x14ac:dyDescent="0.3">
      <c r="A183" s="16"/>
      <c r="B183" s="16"/>
      <c r="C183" s="16"/>
      <c r="D183" s="16"/>
      <c r="E183" s="16"/>
      <c r="F183" s="16"/>
      <c r="G183" s="16"/>
      <c r="H183" s="16"/>
      <c r="I183" s="17" t="str">
        <f t="shared" si="6"/>
        <v/>
      </c>
      <c r="J183" s="17" t="str">
        <f t="shared" si="7"/>
        <v/>
      </c>
      <c r="K183" s="17" t="str">
        <f>IF(I183="","",IF(I183&lt;=Скали!$B$1,"да","не"))</f>
        <v/>
      </c>
      <c r="L183" s="16"/>
      <c r="M183" s="16"/>
      <c r="N183" s="16"/>
      <c r="O183" s="16"/>
      <c r="P183" s="16"/>
      <c r="Q183" s="16"/>
      <c r="R183" s="17" t="str">
        <f t="shared" si="8"/>
        <v/>
      </c>
      <c r="S183" s="16"/>
    </row>
    <row r="184" spans="1:19" x14ac:dyDescent="0.3">
      <c r="A184" s="16"/>
      <c r="B184" s="16"/>
      <c r="C184" s="16"/>
      <c r="D184" s="16"/>
      <c r="E184" s="16"/>
      <c r="F184" s="16"/>
      <c r="G184" s="16"/>
      <c r="H184" s="16"/>
      <c r="I184" s="17" t="str">
        <f t="shared" si="6"/>
        <v/>
      </c>
      <c r="J184" s="17" t="str">
        <f t="shared" si="7"/>
        <v/>
      </c>
      <c r="K184" s="17" t="str">
        <f>IF(I184="","",IF(I184&lt;=Скали!$B$1,"да","не"))</f>
        <v/>
      </c>
      <c r="L184" s="16"/>
      <c r="M184" s="16"/>
      <c r="N184" s="16"/>
      <c r="O184" s="16"/>
      <c r="P184" s="16"/>
      <c r="Q184" s="16"/>
      <c r="R184" s="17" t="str">
        <f t="shared" si="8"/>
        <v/>
      </c>
      <c r="S184" s="16"/>
    </row>
    <row r="185" spans="1:19" x14ac:dyDescent="0.3">
      <c r="A185" s="16"/>
      <c r="B185" s="16"/>
      <c r="C185" s="16"/>
      <c r="D185" s="16"/>
      <c r="E185" s="16"/>
      <c r="F185" s="16"/>
      <c r="G185" s="16"/>
      <c r="H185" s="16"/>
      <c r="I185" s="17" t="str">
        <f t="shared" si="6"/>
        <v/>
      </c>
      <c r="J185" s="17" t="str">
        <f t="shared" si="7"/>
        <v/>
      </c>
      <c r="K185" s="17" t="str">
        <f>IF(I185="","",IF(I185&lt;=Скали!$B$1,"да","не"))</f>
        <v/>
      </c>
      <c r="L185" s="16"/>
      <c r="M185" s="16"/>
      <c r="N185" s="16"/>
      <c r="O185" s="16"/>
      <c r="P185" s="16"/>
      <c r="Q185" s="16"/>
      <c r="R185" s="17" t="str">
        <f t="shared" si="8"/>
        <v/>
      </c>
      <c r="S185" s="16"/>
    </row>
    <row r="186" spans="1:19" x14ac:dyDescent="0.3">
      <c r="A186" s="16"/>
      <c r="B186" s="16"/>
      <c r="C186" s="16"/>
      <c r="D186" s="16"/>
      <c r="E186" s="16"/>
      <c r="F186" s="16"/>
      <c r="G186" s="16"/>
      <c r="H186" s="16"/>
      <c r="I186" s="17" t="str">
        <f t="shared" si="6"/>
        <v/>
      </c>
      <c r="J186" s="17" t="str">
        <f t="shared" si="7"/>
        <v/>
      </c>
      <c r="K186" s="17" t="str">
        <f>IF(I186="","",IF(I186&lt;=Скали!$B$1,"да","не"))</f>
        <v/>
      </c>
      <c r="L186" s="16"/>
      <c r="M186" s="16"/>
      <c r="N186" s="16"/>
      <c r="O186" s="16"/>
      <c r="P186" s="16"/>
      <c r="Q186" s="16"/>
      <c r="R186" s="17" t="str">
        <f t="shared" si="8"/>
        <v/>
      </c>
      <c r="S186" s="16"/>
    </row>
    <row r="187" spans="1:19" x14ac:dyDescent="0.3">
      <c r="A187" s="16"/>
      <c r="B187" s="16"/>
      <c r="C187" s="16"/>
      <c r="D187" s="16"/>
      <c r="E187" s="16"/>
      <c r="F187" s="16"/>
      <c r="G187" s="16"/>
      <c r="H187" s="16"/>
      <c r="I187" s="17" t="str">
        <f t="shared" si="6"/>
        <v/>
      </c>
      <c r="J187" s="17" t="str">
        <f t="shared" si="7"/>
        <v/>
      </c>
      <c r="K187" s="17" t="str">
        <f>IF(I187="","",IF(I187&lt;=Скали!$B$1,"да","не"))</f>
        <v/>
      </c>
      <c r="L187" s="16"/>
      <c r="M187" s="16"/>
      <c r="N187" s="16"/>
      <c r="O187" s="16"/>
      <c r="P187" s="16"/>
      <c r="Q187" s="16"/>
      <c r="R187" s="17" t="str">
        <f t="shared" si="8"/>
        <v/>
      </c>
      <c r="S187" s="16"/>
    </row>
    <row r="188" spans="1:19" x14ac:dyDescent="0.3">
      <c r="A188" s="16"/>
      <c r="B188" s="16"/>
      <c r="C188" s="16"/>
      <c r="D188" s="16"/>
      <c r="E188" s="16"/>
      <c r="F188" s="16"/>
      <c r="G188" s="16"/>
      <c r="H188" s="16"/>
      <c r="I188" s="17" t="str">
        <f t="shared" si="6"/>
        <v/>
      </c>
      <c r="J188" s="17" t="str">
        <f t="shared" si="7"/>
        <v/>
      </c>
      <c r="K188" s="17" t="str">
        <f>IF(I188="","",IF(I188&lt;=Скали!$B$1,"да","не"))</f>
        <v/>
      </c>
      <c r="L188" s="16"/>
      <c r="M188" s="16"/>
      <c r="N188" s="16"/>
      <c r="O188" s="16"/>
      <c r="P188" s="16"/>
      <c r="Q188" s="16"/>
      <c r="R188" s="17" t="str">
        <f t="shared" si="8"/>
        <v/>
      </c>
      <c r="S188" s="16"/>
    </row>
    <row r="189" spans="1:19" x14ac:dyDescent="0.3">
      <c r="A189" s="16"/>
      <c r="B189" s="16"/>
      <c r="C189" s="16"/>
      <c r="D189" s="16"/>
      <c r="E189" s="16"/>
      <c r="F189" s="16"/>
      <c r="G189" s="16"/>
      <c r="H189" s="16"/>
      <c r="I189" s="17" t="str">
        <f t="shared" si="6"/>
        <v/>
      </c>
      <c r="J189" s="17" t="str">
        <f t="shared" si="7"/>
        <v/>
      </c>
      <c r="K189" s="17" t="str">
        <f>IF(I189="","",IF(I189&lt;=Скали!$B$1,"да","не"))</f>
        <v/>
      </c>
      <c r="L189" s="16"/>
      <c r="M189" s="16"/>
      <c r="N189" s="16"/>
      <c r="O189" s="16"/>
      <c r="P189" s="16"/>
      <c r="Q189" s="16"/>
      <c r="R189" s="17" t="str">
        <f t="shared" si="8"/>
        <v/>
      </c>
      <c r="S189" s="16"/>
    </row>
    <row r="190" spans="1:19" x14ac:dyDescent="0.3">
      <c r="A190" s="16"/>
      <c r="B190" s="16"/>
      <c r="C190" s="16"/>
      <c r="D190" s="16"/>
      <c r="E190" s="16"/>
      <c r="F190" s="16"/>
      <c r="G190" s="16"/>
      <c r="H190" s="16"/>
      <c r="I190" s="17" t="str">
        <f t="shared" si="6"/>
        <v/>
      </c>
      <c r="J190" s="17" t="str">
        <f t="shared" si="7"/>
        <v/>
      </c>
      <c r="K190" s="17" t="str">
        <f>IF(I190="","",IF(I190&lt;=Скали!$B$1,"да","не"))</f>
        <v/>
      </c>
      <c r="L190" s="16"/>
      <c r="M190" s="16"/>
      <c r="N190" s="16"/>
      <c r="O190" s="16"/>
      <c r="P190" s="16"/>
      <c r="Q190" s="16"/>
      <c r="R190" s="17" t="str">
        <f t="shared" si="8"/>
        <v/>
      </c>
      <c r="S190" s="16"/>
    </row>
    <row r="191" spans="1:19" x14ac:dyDescent="0.3">
      <c r="A191" s="16"/>
      <c r="B191" s="16"/>
      <c r="C191" s="16"/>
      <c r="D191" s="16"/>
      <c r="E191" s="16"/>
      <c r="F191" s="16"/>
      <c r="G191" s="16"/>
      <c r="H191" s="16"/>
      <c r="I191" s="17" t="str">
        <f t="shared" si="6"/>
        <v/>
      </c>
      <c r="J191" s="17" t="str">
        <f t="shared" si="7"/>
        <v/>
      </c>
      <c r="K191" s="17" t="str">
        <f>IF(I191="","",IF(I191&lt;=Скали!$B$1,"да","не"))</f>
        <v/>
      </c>
      <c r="L191" s="16"/>
      <c r="M191" s="16"/>
      <c r="N191" s="16"/>
      <c r="O191" s="16"/>
      <c r="P191" s="16"/>
      <c r="Q191" s="16"/>
      <c r="R191" s="17" t="str">
        <f t="shared" si="8"/>
        <v/>
      </c>
      <c r="S191" s="16"/>
    </row>
    <row r="192" spans="1:19" x14ac:dyDescent="0.3">
      <c r="A192" s="16"/>
      <c r="B192" s="16"/>
      <c r="C192" s="16"/>
      <c r="D192" s="16"/>
      <c r="E192" s="16"/>
      <c r="F192" s="16"/>
      <c r="G192" s="16"/>
      <c r="H192" s="16"/>
      <c r="I192" s="17" t="str">
        <f t="shared" si="6"/>
        <v/>
      </c>
      <c r="J192" s="17" t="str">
        <f t="shared" si="7"/>
        <v/>
      </c>
      <c r="K192" s="17" t="str">
        <f>IF(I192="","",IF(I192&lt;=Скали!$B$1,"да","не"))</f>
        <v/>
      </c>
      <c r="L192" s="16"/>
      <c r="M192" s="16"/>
      <c r="N192" s="16"/>
      <c r="O192" s="16"/>
      <c r="P192" s="16"/>
      <c r="Q192" s="16"/>
      <c r="R192" s="17" t="str">
        <f t="shared" si="8"/>
        <v/>
      </c>
      <c r="S192" s="16"/>
    </row>
    <row r="193" spans="1:19" x14ac:dyDescent="0.3">
      <c r="A193" s="16"/>
      <c r="B193" s="16"/>
      <c r="C193" s="16"/>
      <c r="D193" s="16"/>
      <c r="E193" s="16"/>
      <c r="F193" s="16"/>
      <c r="G193" s="16"/>
      <c r="H193" s="16"/>
      <c r="I193" s="17" t="str">
        <f t="shared" si="6"/>
        <v/>
      </c>
      <c r="J193" s="17" t="str">
        <f t="shared" si="7"/>
        <v/>
      </c>
      <c r="K193" s="17" t="str">
        <f>IF(I193="","",IF(I193&lt;=Скали!$B$1,"да","не"))</f>
        <v/>
      </c>
      <c r="L193" s="16"/>
      <c r="M193" s="16"/>
      <c r="N193" s="16"/>
      <c r="O193" s="16"/>
      <c r="P193" s="16"/>
      <c r="Q193" s="16"/>
      <c r="R193" s="17" t="str">
        <f t="shared" si="8"/>
        <v/>
      </c>
      <c r="S193" s="16"/>
    </row>
    <row r="194" spans="1:19" x14ac:dyDescent="0.3">
      <c r="A194" s="16"/>
      <c r="B194" s="16"/>
      <c r="C194" s="16"/>
      <c r="D194" s="16"/>
      <c r="E194" s="16"/>
      <c r="F194" s="16"/>
      <c r="G194" s="16"/>
      <c r="H194" s="16"/>
      <c r="I194" s="17" t="str">
        <f t="shared" ref="I194:I257" si="9">IF(OR(G194="",H194=""),"",G194*H194)</f>
        <v/>
      </c>
      <c r="J194" s="17" t="str">
        <f t="shared" ref="J194:J257" si="10">IF(I194="","",IF(I194&lt;=4,"нисък",IF(I194&lt;=9,"умерен",IF(I194&lt;=15,"висок","критичен"))))</f>
        <v/>
      </c>
      <c r="K194" s="17" t="str">
        <f>IF(I194="","",IF(I194&lt;=Скали!$B$1,"да","не"))</f>
        <v/>
      </c>
      <c r="L194" s="16"/>
      <c r="M194" s="16"/>
      <c r="N194" s="16"/>
      <c r="O194" s="16"/>
      <c r="P194" s="16"/>
      <c r="Q194" s="16"/>
      <c r="R194" s="17" t="str">
        <f t="shared" ref="R194:R257" si="11">IF(OR(P194="",Q194=""),"",P194*Q194)</f>
        <v/>
      </c>
      <c r="S194" s="16"/>
    </row>
    <row r="195" spans="1:19" x14ac:dyDescent="0.3">
      <c r="A195" s="16"/>
      <c r="B195" s="16"/>
      <c r="C195" s="16"/>
      <c r="D195" s="16"/>
      <c r="E195" s="16"/>
      <c r="F195" s="16"/>
      <c r="G195" s="16"/>
      <c r="H195" s="16"/>
      <c r="I195" s="17" t="str">
        <f t="shared" si="9"/>
        <v/>
      </c>
      <c r="J195" s="17" t="str">
        <f t="shared" si="10"/>
        <v/>
      </c>
      <c r="K195" s="17" t="str">
        <f>IF(I195="","",IF(I195&lt;=Скали!$B$1,"да","не"))</f>
        <v/>
      </c>
      <c r="L195" s="16"/>
      <c r="M195" s="16"/>
      <c r="N195" s="16"/>
      <c r="O195" s="16"/>
      <c r="P195" s="16"/>
      <c r="Q195" s="16"/>
      <c r="R195" s="17" t="str">
        <f t="shared" si="11"/>
        <v/>
      </c>
      <c r="S195" s="16"/>
    </row>
    <row r="196" spans="1:19" x14ac:dyDescent="0.3">
      <c r="A196" s="16"/>
      <c r="B196" s="16"/>
      <c r="C196" s="16"/>
      <c r="D196" s="16"/>
      <c r="E196" s="16"/>
      <c r="F196" s="16"/>
      <c r="G196" s="16"/>
      <c r="H196" s="16"/>
      <c r="I196" s="17" t="str">
        <f t="shared" si="9"/>
        <v/>
      </c>
      <c r="J196" s="17" t="str">
        <f t="shared" si="10"/>
        <v/>
      </c>
      <c r="K196" s="17" t="str">
        <f>IF(I196="","",IF(I196&lt;=Скали!$B$1,"да","не"))</f>
        <v/>
      </c>
      <c r="L196" s="16"/>
      <c r="M196" s="16"/>
      <c r="N196" s="16"/>
      <c r="O196" s="16"/>
      <c r="P196" s="16"/>
      <c r="Q196" s="16"/>
      <c r="R196" s="17" t="str">
        <f t="shared" si="11"/>
        <v/>
      </c>
      <c r="S196" s="16"/>
    </row>
    <row r="197" spans="1:19" x14ac:dyDescent="0.3">
      <c r="A197" s="16"/>
      <c r="B197" s="16"/>
      <c r="C197" s="16"/>
      <c r="D197" s="16"/>
      <c r="E197" s="16"/>
      <c r="F197" s="16"/>
      <c r="G197" s="16"/>
      <c r="H197" s="16"/>
      <c r="I197" s="17" t="str">
        <f t="shared" si="9"/>
        <v/>
      </c>
      <c r="J197" s="17" t="str">
        <f t="shared" si="10"/>
        <v/>
      </c>
      <c r="K197" s="17" t="str">
        <f>IF(I197="","",IF(I197&lt;=Скали!$B$1,"да","не"))</f>
        <v/>
      </c>
      <c r="L197" s="16"/>
      <c r="M197" s="16"/>
      <c r="N197" s="16"/>
      <c r="O197" s="16"/>
      <c r="P197" s="16"/>
      <c r="Q197" s="16"/>
      <c r="R197" s="17" t="str">
        <f t="shared" si="11"/>
        <v/>
      </c>
      <c r="S197" s="16"/>
    </row>
    <row r="198" spans="1:19" x14ac:dyDescent="0.3">
      <c r="A198" s="16"/>
      <c r="B198" s="16"/>
      <c r="C198" s="16"/>
      <c r="D198" s="16"/>
      <c r="E198" s="16"/>
      <c r="F198" s="16"/>
      <c r="G198" s="16"/>
      <c r="H198" s="16"/>
      <c r="I198" s="17" t="str">
        <f t="shared" si="9"/>
        <v/>
      </c>
      <c r="J198" s="17" t="str">
        <f t="shared" si="10"/>
        <v/>
      </c>
      <c r="K198" s="17" t="str">
        <f>IF(I198="","",IF(I198&lt;=Скали!$B$1,"да","не"))</f>
        <v/>
      </c>
      <c r="L198" s="16"/>
      <c r="M198" s="16"/>
      <c r="N198" s="16"/>
      <c r="O198" s="16"/>
      <c r="P198" s="16"/>
      <c r="Q198" s="16"/>
      <c r="R198" s="17" t="str">
        <f t="shared" si="11"/>
        <v/>
      </c>
      <c r="S198" s="16"/>
    </row>
    <row r="199" spans="1:19" x14ac:dyDescent="0.3">
      <c r="A199" s="16"/>
      <c r="B199" s="16"/>
      <c r="C199" s="16"/>
      <c r="D199" s="16"/>
      <c r="E199" s="16"/>
      <c r="F199" s="16"/>
      <c r="G199" s="16"/>
      <c r="H199" s="16"/>
      <c r="I199" s="17" t="str">
        <f t="shared" si="9"/>
        <v/>
      </c>
      <c r="J199" s="17" t="str">
        <f t="shared" si="10"/>
        <v/>
      </c>
      <c r="K199" s="17" t="str">
        <f>IF(I199="","",IF(I199&lt;=Скали!$B$1,"да","не"))</f>
        <v/>
      </c>
      <c r="L199" s="16"/>
      <c r="M199" s="16"/>
      <c r="N199" s="16"/>
      <c r="O199" s="16"/>
      <c r="P199" s="16"/>
      <c r="Q199" s="16"/>
      <c r="R199" s="17" t="str">
        <f t="shared" si="11"/>
        <v/>
      </c>
      <c r="S199" s="16"/>
    </row>
    <row r="200" spans="1:19" x14ac:dyDescent="0.3">
      <c r="A200" s="16"/>
      <c r="B200" s="16"/>
      <c r="C200" s="16"/>
      <c r="D200" s="16"/>
      <c r="E200" s="16"/>
      <c r="F200" s="16"/>
      <c r="G200" s="16"/>
      <c r="H200" s="16"/>
      <c r="I200" s="17" t="str">
        <f t="shared" si="9"/>
        <v/>
      </c>
      <c r="J200" s="17" t="str">
        <f t="shared" si="10"/>
        <v/>
      </c>
      <c r="K200" s="17" t="str">
        <f>IF(I200="","",IF(I200&lt;=Скали!$B$1,"да","не"))</f>
        <v/>
      </c>
      <c r="L200" s="16"/>
      <c r="M200" s="16"/>
      <c r="N200" s="16"/>
      <c r="O200" s="16"/>
      <c r="P200" s="16"/>
      <c r="Q200" s="16"/>
      <c r="R200" s="17" t="str">
        <f t="shared" si="11"/>
        <v/>
      </c>
      <c r="S200" s="16"/>
    </row>
    <row r="201" spans="1:19" x14ac:dyDescent="0.3">
      <c r="A201" s="16"/>
      <c r="B201" s="16"/>
      <c r="C201" s="16"/>
      <c r="D201" s="16"/>
      <c r="E201" s="16"/>
      <c r="F201" s="16"/>
      <c r="G201" s="16"/>
      <c r="H201" s="16"/>
      <c r="I201" s="17" t="str">
        <f t="shared" si="9"/>
        <v/>
      </c>
      <c r="J201" s="17" t="str">
        <f t="shared" si="10"/>
        <v/>
      </c>
      <c r="K201" s="17" t="str">
        <f>IF(I201="","",IF(I201&lt;=Скали!$B$1,"да","не"))</f>
        <v/>
      </c>
      <c r="L201" s="16"/>
      <c r="M201" s="16"/>
      <c r="N201" s="16"/>
      <c r="O201" s="16"/>
      <c r="P201" s="16"/>
      <c r="Q201" s="16"/>
      <c r="R201" s="17" t="str">
        <f t="shared" si="11"/>
        <v/>
      </c>
      <c r="S201" s="16"/>
    </row>
    <row r="202" spans="1:19" x14ac:dyDescent="0.3">
      <c r="A202" s="16"/>
      <c r="B202" s="16"/>
      <c r="C202" s="16"/>
      <c r="D202" s="16"/>
      <c r="E202" s="16"/>
      <c r="F202" s="16"/>
      <c r="G202" s="16"/>
      <c r="H202" s="16"/>
      <c r="I202" s="17" t="str">
        <f t="shared" si="9"/>
        <v/>
      </c>
      <c r="J202" s="17" t="str">
        <f t="shared" si="10"/>
        <v/>
      </c>
      <c r="K202" s="17" t="str">
        <f>IF(I202="","",IF(I202&lt;=Скали!$B$1,"да","не"))</f>
        <v/>
      </c>
      <c r="L202" s="16"/>
      <c r="M202" s="16"/>
      <c r="N202" s="16"/>
      <c r="O202" s="16"/>
      <c r="P202" s="16"/>
      <c r="Q202" s="16"/>
      <c r="R202" s="17" t="str">
        <f t="shared" si="11"/>
        <v/>
      </c>
      <c r="S202" s="16"/>
    </row>
    <row r="203" spans="1:19" x14ac:dyDescent="0.3">
      <c r="A203" s="16"/>
      <c r="B203" s="16"/>
      <c r="C203" s="16"/>
      <c r="D203" s="16"/>
      <c r="E203" s="16"/>
      <c r="F203" s="16"/>
      <c r="G203" s="16"/>
      <c r="H203" s="16"/>
      <c r="I203" s="17" t="str">
        <f t="shared" si="9"/>
        <v/>
      </c>
      <c r="J203" s="17" t="str">
        <f t="shared" si="10"/>
        <v/>
      </c>
      <c r="K203" s="17" t="str">
        <f>IF(I203="","",IF(I203&lt;=Скали!$B$1,"да","не"))</f>
        <v/>
      </c>
      <c r="L203" s="16"/>
      <c r="M203" s="16"/>
      <c r="N203" s="16"/>
      <c r="O203" s="16"/>
      <c r="P203" s="16"/>
      <c r="Q203" s="16"/>
      <c r="R203" s="17" t="str">
        <f t="shared" si="11"/>
        <v/>
      </c>
      <c r="S203" s="16"/>
    </row>
    <row r="204" spans="1:19" x14ac:dyDescent="0.3">
      <c r="I204" t="str">
        <f t="shared" si="9"/>
        <v/>
      </c>
      <c r="J204" t="str">
        <f t="shared" si="10"/>
        <v/>
      </c>
      <c r="K204" t="str">
        <f>IF(I204="","",IF(I204&lt;=Скали!$B$1,"да","не"))</f>
        <v/>
      </c>
      <c r="R204" t="str">
        <f t="shared" si="11"/>
        <v/>
      </c>
    </row>
    <row r="205" spans="1:19" x14ac:dyDescent="0.3">
      <c r="I205" t="str">
        <f t="shared" si="9"/>
        <v/>
      </c>
      <c r="J205" t="str">
        <f t="shared" si="10"/>
        <v/>
      </c>
      <c r="K205" t="str">
        <f>IF(I205="","",IF(I205&lt;=Скали!$B$1,"да","не"))</f>
        <v/>
      </c>
      <c r="R205" t="str">
        <f t="shared" si="11"/>
        <v/>
      </c>
    </row>
    <row r="206" spans="1:19" x14ac:dyDescent="0.3">
      <c r="I206" t="str">
        <f t="shared" si="9"/>
        <v/>
      </c>
      <c r="J206" t="str">
        <f t="shared" si="10"/>
        <v/>
      </c>
      <c r="K206" t="str">
        <f>IF(I206="","",IF(I206&lt;=Скали!$B$1,"да","не"))</f>
        <v/>
      </c>
      <c r="R206" t="str">
        <f t="shared" si="11"/>
        <v/>
      </c>
    </row>
    <row r="207" spans="1:19" x14ac:dyDescent="0.3">
      <c r="I207" t="str">
        <f t="shared" si="9"/>
        <v/>
      </c>
      <c r="J207" t="str">
        <f t="shared" si="10"/>
        <v/>
      </c>
      <c r="K207" t="str">
        <f>IF(I207="","",IF(I207&lt;=Скали!$B$1,"да","не"))</f>
        <v/>
      </c>
      <c r="R207" t="str">
        <f t="shared" si="11"/>
        <v/>
      </c>
    </row>
    <row r="208" spans="1:19" x14ac:dyDescent="0.3">
      <c r="I208" t="str">
        <f t="shared" si="9"/>
        <v/>
      </c>
      <c r="J208" t="str">
        <f t="shared" si="10"/>
        <v/>
      </c>
      <c r="K208" t="str">
        <f>IF(I208="","",IF(I208&lt;=Скали!$B$1,"да","не"))</f>
        <v/>
      </c>
      <c r="R208" t="str">
        <f t="shared" si="11"/>
        <v/>
      </c>
    </row>
    <row r="209" spans="9:18" x14ac:dyDescent="0.3">
      <c r="I209" t="str">
        <f t="shared" si="9"/>
        <v/>
      </c>
      <c r="J209" t="str">
        <f t="shared" si="10"/>
        <v/>
      </c>
      <c r="K209" t="str">
        <f>IF(I209="","",IF(I209&lt;=Скали!$B$1,"да","не"))</f>
        <v/>
      </c>
      <c r="R209" t="str">
        <f t="shared" si="11"/>
        <v/>
      </c>
    </row>
    <row r="210" spans="9:18" x14ac:dyDescent="0.3">
      <c r="I210" t="str">
        <f t="shared" si="9"/>
        <v/>
      </c>
      <c r="J210" t="str">
        <f t="shared" si="10"/>
        <v/>
      </c>
      <c r="K210" t="str">
        <f>IF(I210="","",IF(I210&lt;=Скали!$B$1,"да","не"))</f>
        <v/>
      </c>
      <c r="R210" t="str">
        <f t="shared" si="11"/>
        <v/>
      </c>
    </row>
  </sheetData>
  <conditionalFormatting sqref="I2:I210">
    <cfRule type="cellIs" dxfId="15" priority="2" operator="between">
      <formula>1</formula>
      <formula>4</formula>
    </cfRule>
    <cfRule type="cellIs" dxfId="14" priority="3" operator="between">
      <formula>5</formula>
      <formula>9</formula>
    </cfRule>
    <cfRule type="cellIs" dxfId="13" priority="4" operator="between">
      <formula>10</formula>
      <formula>15</formula>
    </cfRule>
    <cfRule type="cellIs" dxfId="12" priority="5" operator="between">
      <formula>16</formula>
      <formula>25</formula>
    </cfRule>
  </conditionalFormatting>
  <conditionalFormatting sqref="R2:R210">
    <cfRule type="cellIs" dxfId="11" priority="6" operator="between">
      <formula>1</formula>
      <formula>4</formula>
    </cfRule>
    <cfRule type="cellIs" dxfId="10" priority="7" operator="between">
      <formula>5</formula>
      <formula>9</formula>
    </cfRule>
    <cfRule type="cellIs" dxfId="9" priority="8" operator="between">
      <formula>10</formula>
      <formula>15</formula>
    </cfRule>
    <cfRule type="cellIs" dxfId="8" priority="9" operator="between">
      <formula>16</formula>
      <formula>25</formula>
    </cfRule>
  </conditionalFormatting>
  <dataValidations count="2">
    <dataValidation type="list" allowBlank="1" sqref="G2:H210 P2:Q210" xr:uid="{00000000-0002-0000-0300-000000000000}">
      <formula1>"1,2,3,4,5"</formula1>
      <formula2>0</formula2>
    </dataValidation>
    <dataValidation type="list" allowBlank="1" sqref="L2:L210" xr:uid="{00000000-0002-0000-0300-000001000000}">
      <formula1>"намаляване,прехвърляне,избягване,приемане"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0"/>
  <sheetViews>
    <sheetView zoomScaleNormal="100" workbookViewId="0">
      <pane ySplit="1" topLeftCell="A2" activePane="bottomLeft" state="frozen"/>
      <selection pane="bottomLeft" activeCell="O4" sqref="O4:O17"/>
    </sheetView>
  </sheetViews>
  <sheetFormatPr defaultColWidth="8.6640625" defaultRowHeight="14.4" x14ac:dyDescent="0.3"/>
  <cols>
    <col min="1" max="1" width="8" customWidth="1"/>
    <col min="2" max="2" width="12" customWidth="1"/>
    <col min="3" max="3" width="34" customWidth="1"/>
    <col min="4" max="4" width="13" customWidth="1"/>
    <col min="5" max="5" width="18" customWidth="1"/>
    <col min="6" max="6" width="30" customWidth="1"/>
    <col min="7" max="7" width="14" customWidth="1"/>
    <col min="8" max="8" width="20" customWidth="1"/>
    <col min="9" max="11" width="12" customWidth="1"/>
    <col min="12" max="13" width="8" customWidth="1"/>
    <col min="14" max="14" width="11" customWidth="1"/>
    <col min="15" max="15" width="30" customWidth="1"/>
  </cols>
  <sheetData>
    <row r="1" spans="1:15" ht="30" customHeight="1" x14ac:dyDescent="0.3">
      <c r="A1" s="15" t="s">
        <v>194</v>
      </c>
      <c r="B1" s="15" t="s">
        <v>297</v>
      </c>
      <c r="C1" s="15" t="s">
        <v>298</v>
      </c>
      <c r="D1" s="15" t="s">
        <v>299</v>
      </c>
      <c r="E1" s="15" t="s">
        <v>300</v>
      </c>
      <c r="F1" s="15" t="s">
        <v>301</v>
      </c>
      <c r="G1" s="15" t="s">
        <v>302</v>
      </c>
      <c r="H1" s="15" t="s">
        <v>204</v>
      </c>
      <c r="I1" s="15" t="s">
        <v>205</v>
      </c>
      <c r="J1" s="15" t="s">
        <v>303</v>
      </c>
      <c r="K1" s="15" t="s">
        <v>304</v>
      </c>
      <c r="L1" s="15" t="s">
        <v>305</v>
      </c>
      <c r="M1" s="15" t="s">
        <v>306</v>
      </c>
      <c r="N1" s="15" t="s">
        <v>209</v>
      </c>
      <c r="O1" s="15" t="s">
        <v>307</v>
      </c>
    </row>
    <row r="2" spans="1:15" ht="38.25" customHeight="1" x14ac:dyDescent="0.3">
      <c r="A2" s="16" t="s">
        <v>211</v>
      </c>
      <c r="B2" s="16" t="s">
        <v>95</v>
      </c>
      <c r="C2" s="16" t="s">
        <v>308</v>
      </c>
      <c r="D2" s="17">
        <f>IFERROR(INDEX('Регистър на риска'!$I:$I,MATCH(A2,'Регистър на риска'!$A:$A,0)),"")</f>
        <v>20</v>
      </c>
      <c r="E2" s="16" t="s">
        <v>216</v>
      </c>
      <c r="F2" s="16" t="s">
        <v>309</v>
      </c>
      <c r="G2" s="16" t="s">
        <v>310</v>
      </c>
      <c r="H2" s="16" t="s">
        <v>122</v>
      </c>
      <c r="I2" s="16" t="s">
        <v>217</v>
      </c>
      <c r="J2" s="16"/>
      <c r="K2" s="16" t="s">
        <v>311</v>
      </c>
      <c r="L2" s="16">
        <v>2</v>
      </c>
      <c r="M2" s="16">
        <v>4</v>
      </c>
      <c r="N2" s="17">
        <f t="shared" ref="N2:N65" si="0">IF(OR(L2="",M2=""),"",L2*M2)</f>
        <v>8</v>
      </c>
      <c r="O2" s="16" t="s">
        <v>218</v>
      </c>
    </row>
    <row r="3" spans="1:15" ht="25.5" customHeight="1" x14ac:dyDescent="0.3">
      <c r="A3" s="16" t="s">
        <v>219</v>
      </c>
      <c r="B3" s="16" t="s">
        <v>220</v>
      </c>
      <c r="C3" s="16" t="s">
        <v>312</v>
      </c>
      <c r="D3" s="17">
        <f>IFERROR(INDEX('Регистър на риска'!$I:$I,MATCH(A3,'Регистър на риска'!$A:$A,0)),"")</f>
        <v>20</v>
      </c>
      <c r="E3" s="16" t="s">
        <v>216</v>
      </c>
      <c r="F3" s="16" t="s">
        <v>313</v>
      </c>
      <c r="G3" s="16" t="s">
        <v>314</v>
      </c>
      <c r="H3" s="16" t="s">
        <v>122</v>
      </c>
      <c r="I3" s="16" t="s">
        <v>217</v>
      </c>
      <c r="J3" s="16"/>
      <c r="K3" s="16" t="s">
        <v>311</v>
      </c>
      <c r="L3" s="16">
        <v>1</v>
      </c>
      <c r="M3" s="16">
        <v>4</v>
      </c>
      <c r="N3" s="17">
        <f t="shared" si="0"/>
        <v>4</v>
      </c>
      <c r="O3" s="16"/>
    </row>
    <row r="4" spans="1:15" ht="66" x14ac:dyDescent="0.3">
      <c r="A4" s="16" t="s">
        <v>225</v>
      </c>
      <c r="B4" s="16" t="s">
        <v>226</v>
      </c>
      <c r="C4" s="16" t="s">
        <v>315</v>
      </c>
      <c r="D4" s="17">
        <f>IFERROR(INDEX('Регистър на риска'!$I:$I,MATCH(A4,'Регистър на риска'!$A:$A,0)),"")</f>
        <v>16</v>
      </c>
      <c r="E4" s="16" t="s">
        <v>216</v>
      </c>
      <c r="F4" s="16" t="s">
        <v>316</v>
      </c>
      <c r="G4" s="16" t="s">
        <v>317</v>
      </c>
      <c r="H4" s="16" t="s">
        <v>98</v>
      </c>
      <c r="I4" s="16" t="s">
        <v>217</v>
      </c>
      <c r="J4" s="16" t="s">
        <v>143</v>
      </c>
      <c r="K4" s="16" t="s">
        <v>311</v>
      </c>
      <c r="L4" s="16">
        <v>2</v>
      </c>
      <c r="M4" s="16">
        <v>4</v>
      </c>
      <c r="N4" s="17">
        <f t="shared" si="0"/>
        <v>8</v>
      </c>
      <c r="O4" s="16"/>
    </row>
    <row r="5" spans="1:15" ht="52.8" x14ac:dyDescent="0.3">
      <c r="A5" s="16" t="s">
        <v>231</v>
      </c>
      <c r="B5" s="16" t="s">
        <v>104</v>
      </c>
      <c r="C5" s="16" t="s">
        <v>318</v>
      </c>
      <c r="D5" s="17">
        <f>IFERROR(INDEX('Регистър на риска'!$I:$I,MATCH(A5,'Регистър на риска'!$A:$A,0)),"")</f>
        <v>15</v>
      </c>
      <c r="E5" s="16" t="s">
        <v>216</v>
      </c>
      <c r="F5" s="16" t="s">
        <v>319</v>
      </c>
      <c r="G5" s="16" t="s">
        <v>320</v>
      </c>
      <c r="H5" s="16" t="s">
        <v>122</v>
      </c>
      <c r="I5" s="16" t="s">
        <v>236</v>
      </c>
      <c r="J5" s="16" t="s">
        <v>143</v>
      </c>
      <c r="K5" s="16" t="s">
        <v>311</v>
      </c>
      <c r="L5" s="16">
        <v>3</v>
      </c>
      <c r="M5" s="16">
        <v>2</v>
      </c>
      <c r="N5" s="17">
        <f t="shared" si="0"/>
        <v>6</v>
      </c>
      <c r="O5" s="16"/>
    </row>
    <row r="6" spans="1:15" ht="52.8" x14ac:dyDescent="0.3">
      <c r="A6" s="16" t="s">
        <v>237</v>
      </c>
      <c r="B6" s="16" t="s">
        <v>132</v>
      </c>
      <c r="C6" s="16" t="s">
        <v>321</v>
      </c>
      <c r="D6" s="17">
        <f>IFERROR(INDEX('Регистър на риска'!$I:$I,MATCH(A6,'Регистър на риска'!$A:$A,0)),"")</f>
        <v>12</v>
      </c>
      <c r="E6" s="16" t="s">
        <v>216</v>
      </c>
      <c r="F6" s="16" t="s">
        <v>322</v>
      </c>
      <c r="G6" s="16" t="s">
        <v>323</v>
      </c>
      <c r="H6" s="16" t="s">
        <v>122</v>
      </c>
      <c r="I6" s="16" t="s">
        <v>236</v>
      </c>
      <c r="J6" s="16"/>
      <c r="K6" s="16" t="s">
        <v>311</v>
      </c>
      <c r="L6" s="16">
        <v>1</v>
      </c>
      <c r="M6" s="16">
        <v>4</v>
      </c>
      <c r="N6" s="17">
        <f t="shared" si="0"/>
        <v>4</v>
      </c>
      <c r="O6" s="16"/>
    </row>
    <row r="7" spans="1:15" ht="39.6" x14ac:dyDescent="0.3">
      <c r="A7" s="16" t="s">
        <v>242</v>
      </c>
      <c r="B7" s="16" t="s">
        <v>243</v>
      </c>
      <c r="C7" s="16" t="s">
        <v>324</v>
      </c>
      <c r="D7" s="17">
        <f>IFERROR(INDEX('Регистър на риска'!$I:$I,MATCH(A7,'Регистър на риска'!$A:$A,0)),"")</f>
        <v>12</v>
      </c>
      <c r="E7" s="16" t="s">
        <v>216</v>
      </c>
      <c r="F7" s="16" t="s">
        <v>325</v>
      </c>
      <c r="G7" s="16" t="s">
        <v>326</v>
      </c>
      <c r="H7" s="16" t="s">
        <v>146</v>
      </c>
      <c r="I7" s="16" t="s">
        <v>236</v>
      </c>
      <c r="J7" s="16"/>
      <c r="K7" s="16" t="s">
        <v>311</v>
      </c>
      <c r="L7" s="16">
        <v>2</v>
      </c>
      <c r="M7" s="16">
        <v>3</v>
      </c>
      <c r="N7" s="17">
        <f t="shared" si="0"/>
        <v>6</v>
      </c>
      <c r="O7" s="16"/>
    </row>
    <row r="8" spans="1:15" ht="39.6" x14ac:dyDescent="0.3">
      <c r="A8" s="16" t="s">
        <v>247</v>
      </c>
      <c r="B8" s="16" t="s">
        <v>248</v>
      </c>
      <c r="C8" s="16" t="s">
        <v>327</v>
      </c>
      <c r="D8" s="17">
        <f>IFERROR(INDEX('Регистър на риска'!$I:$I,MATCH(A8,'Регистър на риска'!$A:$A,0)),"")</f>
        <v>8</v>
      </c>
      <c r="E8" s="16" t="s">
        <v>253</v>
      </c>
      <c r="F8" s="16" t="s">
        <v>328</v>
      </c>
      <c r="G8" s="16" t="s">
        <v>143</v>
      </c>
      <c r="H8" s="16" t="s">
        <v>146</v>
      </c>
      <c r="I8" s="16" t="s">
        <v>143</v>
      </c>
      <c r="J8" s="16" t="s">
        <v>143</v>
      </c>
      <c r="K8" s="16" t="s">
        <v>329</v>
      </c>
      <c r="L8" s="16">
        <v>2</v>
      </c>
      <c r="M8" s="16">
        <v>4</v>
      </c>
      <c r="N8" s="17">
        <f t="shared" si="0"/>
        <v>8</v>
      </c>
      <c r="O8" s="16"/>
    </row>
    <row r="9" spans="1:15" ht="66" x14ac:dyDescent="0.3">
      <c r="A9" s="16" t="s">
        <v>254</v>
      </c>
      <c r="B9" s="16" t="s">
        <v>255</v>
      </c>
      <c r="C9" s="16" t="s">
        <v>330</v>
      </c>
      <c r="D9" s="17">
        <f>IFERROR(INDEX('Регистър на риска'!$I:$I,MATCH(A9,'Регистър на риска'!$A:$A,0)),"")</f>
        <v>12</v>
      </c>
      <c r="E9" s="16" t="s">
        <v>216</v>
      </c>
      <c r="F9" s="16" t="s">
        <v>331</v>
      </c>
      <c r="G9" s="16" t="s">
        <v>332</v>
      </c>
      <c r="H9" s="16" t="s">
        <v>146</v>
      </c>
      <c r="I9" s="16" t="s">
        <v>236</v>
      </c>
      <c r="J9" s="16"/>
      <c r="K9" s="16" t="s">
        <v>311</v>
      </c>
      <c r="L9" s="16">
        <v>1</v>
      </c>
      <c r="M9" s="16">
        <v>4</v>
      </c>
      <c r="N9" s="17">
        <f t="shared" si="0"/>
        <v>4</v>
      </c>
      <c r="O9" s="16"/>
    </row>
    <row r="10" spans="1:15" ht="52.8" x14ac:dyDescent="0.3">
      <c r="A10" s="16" t="s">
        <v>259</v>
      </c>
      <c r="B10" s="16" t="s">
        <v>159</v>
      </c>
      <c r="C10" s="16" t="s">
        <v>333</v>
      </c>
      <c r="D10" s="17">
        <f>IFERROR(INDEX('Регистър на риска'!$I:$I,MATCH(A10,'Регистър на риска'!$A:$A,0)),"")</f>
        <v>12</v>
      </c>
      <c r="E10" s="16" t="s">
        <v>216</v>
      </c>
      <c r="F10" s="16" t="s">
        <v>334</v>
      </c>
      <c r="G10" s="16" t="s">
        <v>335</v>
      </c>
      <c r="H10" s="16" t="s">
        <v>146</v>
      </c>
      <c r="I10" s="16" t="s">
        <v>236</v>
      </c>
      <c r="J10" s="16" t="s">
        <v>143</v>
      </c>
      <c r="K10" s="16" t="s">
        <v>311</v>
      </c>
      <c r="L10" s="16">
        <v>1</v>
      </c>
      <c r="M10" s="16">
        <v>4</v>
      </c>
      <c r="N10" s="17">
        <f t="shared" si="0"/>
        <v>4</v>
      </c>
      <c r="O10" s="16"/>
    </row>
    <row r="11" spans="1:15" ht="39.6" x14ac:dyDescent="0.3">
      <c r="A11" s="16" t="s">
        <v>263</v>
      </c>
      <c r="B11" s="16" t="s">
        <v>164</v>
      </c>
      <c r="C11" s="16" t="s">
        <v>336</v>
      </c>
      <c r="D11" s="17">
        <f>IFERROR(INDEX('Регистър на риска'!$I:$I,MATCH(A11,'Регистър на риска'!$A:$A,0)),"")</f>
        <v>10</v>
      </c>
      <c r="E11" s="16" t="s">
        <v>216</v>
      </c>
      <c r="F11" s="16" t="s">
        <v>337</v>
      </c>
      <c r="G11" s="16" t="s">
        <v>338</v>
      </c>
      <c r="H11" s="16" t="s">
        <v>122</v>
      </c>
      <c r="I11" s="16" t="s">
        <v>236</v>
      </c>
      <c r="J11" s="16" t="s">
        <v>143</v>
      </c>
      <c r="K11" s="16" t="s">
        <v>311</v>
      </c>
      <c r="L11" s="16">
        <v>1</v>
      </c>
      <c r="M11" s="16">
        <v>5</v>
      </c>
      <c r="N11" s="17">
        <f t="shared" si="0"/>
        <v>5</v>
      </c>
      <c r="O11" s="16"/>
    </row>
    <row r="12" spans="1:15" ht="39.6" x14ac:dyDescent="0.3">
      <c r="A12" s="16" t="s">
        <v>267</v>
      </c>
      <c r="B12" s="16" t="s">
        <v>268</v>
      </c>
      <c r="C12" s="16" t="s">
        <v>339</v>
      </c>
      <c r="D12" s="17">
        <f>IFERROR(INDEX('Регистър на риска'!$I:$I,MATCH(A12,'Регистър на риска'!$A:$A,0)),"")</f>
        <v>10</v>
      </c>
      <c r="E12" s="16" t="s">
        <v>216</v>
      </c>
      <c r="F12" s="16" t="s">
        <v>340</v>
      </c>
      <c r="G12" s="16" t="s">
        <v>341</v>
      </c>
      <c r="H12" s="16" t="s">
        <v>122</v>
      </c>
      <c r="I12" s="16" t="s">
        <v>236</v>
      </c>
      <c r="J12" s="16"/>
      <c r="K12" s="16" t="s">
        <v>311</v>
      </c>
      <c r="L12" s="16">
        <v>1</v>
      </c>
      <c r="M12" s="16">
        <v>5</v>
      </c>
      <c r="N12" s="17">
        <f t="shared" si="0"/>
        <v>5</v>
      </c>
      <c r="O12" s="16"/>
    </row>
    <row r="13" spans="1:15" ht="52.8" x14ac:dyDescent="0.3">
      <c r="A13" s="16" t="s">
        <v>272</v>
      </c>
      <c r="B13" s="16" t="s">
        <v>132</v>
      </c>
      <c r="C13" s="16" t="s">
        <v>342</v>
      </c>
      <c r="D13" s="17">
        <f>IFERROR(INDEX('Регистър на риска'!$I:$I,MATCH(A13,'Регистър на риска'!$A:$A,0)),"")</f>
        <v>6</v>
      </c>
      <c r="E13" s="16" t="s">
        <v>253</v>
      </c>
      <c r="F13" s="16" t="s">
        <v>343</v>
      </c>
      <c r="G13" s="16" t="s">
        <v>143</v>
      </c>
      <c r="H13" s="16" t="s">
        <v>146</v>
      </c>
      <c r="I13" s="16" t="s">
        <v>143</v>
      </c>
      <c r="J13" s="16"/>
      <c r="K13" s="16" t="s">
        <v>329</v>
      </c>
      <c r="L13" s="16">
        <v>2</v>
      </c>
      <c r="M13" s="16">
        <v>3</v>
      </c>
      <c r="N13" s="17">
        <f t="shared" si="0"/>
        <v>6</v>
      </c>
      <c r="O13" s="16"/>
    </row>
    <row r="14" spans="1:15" ht="26.4" x14ac:dyDescent="0.3">
      <c r="A14" s="16" t="s">
        <v>277</v>
      </c>
      <c r="B14" s="16" t="s">
        <v>149</v>
      </c>
      <c r="C14" s="16" t="s">
        <v>344</v>
      </c>
      <c r="D14" s="17">
        <f>IFERROR(INDEX('Регистър на риска'!$I:$I,MATCH(A14,'Регистър на риска'!$A:$A,0)),"")</f>
        <v>6</v>
      </c>
      <c r="E14" s="16" t="s">
        <v>253</v>
      </c>
      <c r="F14" s="16" t="s">
        <v>345</v>
      </c>
      <c r="G14" s="16" t="s">
        <v>143</v>
      </c>
      <c r="H14" s="16" t="s">
        <v>146</v>
      </c>
      <c r="I14" s="16" t="s">
        <v>143</v>
      </c>
      <c r="J14" s="16" t="s">
        <v>143</v>
      </c>
      <c r="K14" s="16" t="s">
        <v>329</v>
      </c>
      <c r="L14" s="16">
        <v>2</v>
      </c>
      <c r="M14" s="16">
        <v>3</v>
      </c>
      <c r="N14" s="17">
        <f t="shared" si="0"/>
        <v>6</v>
      </c>
      <c r="O14" s="16"/>
    </row>
    <row r="15" spans="1:15" ht="39.6" x14ac:dyDescent="0.3">
      <c r="A15" s="16" t="s">
        <v>282</v>
      </c>
      <c r="B15" s="16" t="s">
        <v>120</v>
      </c>
      <c r="C15" s="16" t="s">
        <v>346</v>
      </c>
      <c r="D15" s="17">
        <f>IFERROR(INDEX('Регистър на риска'!$I:$I,MATCH(A15,'Регистър на риска'!$A:$A,0)),"")</f>
        <v>9</v>
      </c>
      <c r="E15" s="16" t="s">
        <v>216</v>
      </c>
      <c r="F15" s="16" t="s">
        <v>347</v>
      </c>
      <c r="G15" s="16" t="s">
        <v>348</v>
      </c>
      <c r="H15" s="16" t="s">
        <v>122</v>
      </c>
      <c r="I15" s="16" t="s">
        <v>236</v>
      </c>
      <c r="J15" s="16"/>
      <c r="K15" s="16" t="s">
        <v>311</v>
      </c>
      <c r="L15" s="16">
        <v>2</v>
      </c>
      <c r="M15" s="16">
        <v>3</v>
      </c>
      <c r="N15" s="17">
        <f t="shared" si="0"/>
        <v>6</v>
      </c>
      <c r="O15" s="16"/>
    </row>
    <row r="16" spans="1:15" ht="26.4" x14ac:dyDescent="0.3">
      <c r="A16" s="16" t="s">
        <v>287</v>
      </c>
      <c r="B16" s="16" t="s">
        <v>104</v>
      </c>
      <c r="C16" s="16" t="s">
        <v>349</v>
      </c>
      <c r="D16" s="17">
        <f>IFERROR(INDEX('Регистър на риска'!$I:$I,MATCH(A16,'Регистър на риска'!$A:$A,0)),"")</f>
        <v>4</v>
      </c>
      <c r="E16" s="16" t="s">
        <v>253</v>
      </c>
      <c r="F16" s="16" t="s">
        <v>350</v>
      </c>
      <c r="G16" s="16" t="s">
        <v>143</v>
      </c>
      <c r="H16" s="16" t="s">
        <v>107</v>
      </c>
      <c r="I16" s="16" t="s">
        <v>143</v>
      </c>
      <c r="J16" s="16" t="s">
        <v>143</v>
      </c>
      <c r="K16" s="16" t="s">
        <v>329</v>
      </c>
      <c r="L16" s="16">
        <v>1</v>
      </c>
      <c r="M16" s="16">
        <v>4</v>
      </c>
      <c r="N16" s="17">
        <f t="shared" si="0"/>
        <v>4</v>
      </c>
      <c r="O16" s="16"/>
    </row>
    <row r="17" spans="1:15" ht="79.2" x14ac:dyDescent="0.3">
      <c r="A17" s="16" t="s">
        <v>292</v>
      </c>
      <c r="B17" s="16" t="s">
        <v>192</v>
      </c>
      <c r="C17" s="16" t="s">
        <v>351</v>
      </c>
      <c r="D17" s="17">
        <f>IFERROR(INDEX('Регистър на риска'!$I:$I,MATCH(A17,'Регистър на риска'!$A:$A,0)),"")</f>
        <v>10</v>
      </c>
      <c r="E17" s="16" t="s">
        <v>296</v>
      </c>
      <c r="F17" s="16" t="s">
        <v>352</v>
      </c>
      <c r="G17" s="16" t="s">
        <v>353</v>
      </c>
      <c r="H17" s="16" t="s">
        <v>146</v>
      </c>
      <c r="I17" s="16" t="s">
        <v>236</v>
      </c>
      <c r="J17" s="16" t="s">
        <v>143</v>
      </c>
      <c r="K17" s="16" t="s">
        <v>311</v>
      </c>
      <c r="L17" s="16">
        <v>2</v>
      </c>
      <c r="M17" s="16">
        <v>4</v>
      </c>
      <c r="N17" s="17">
        <f t="shared" si="0"/>
        <v>8</v>
      </c>
      <c r="O17" s="16"/>
    </row>
    <row r="18" spans="1:15" x14ac:dyDescent="0.3">
      <c r="A18" s="16"/>
      <c r="B18" s="16"/>
      <c r="C18" s="16"/>
      <c r="D18" s="17" t="str">
        <f>IFERROR(INDEX('Регистър на риска'!$I:$I,MATCH(A18,'Регистър на риска'!$A:$A,0)),"")</f>
        <v/>
      </c>
      <c r="E18" s="16"/>
      <c r="F18" s="16"/>
      <c r="G18" s="16"/>
      <c r="H18" s="16"/>
      <c r="I18" s="16"/>
      <c r="J18" s="16"/>
      <c r="K18" s="16"/>
      <c r="L18" s="16"/>
      <c r="M18" s="16"/>
      <c r="N18" s="17" t="str">
        <f t="shared" si="0"/>
        <v/>
      </c>
      <c r="O18" s="16"/>
    </row>
    <row r="19" spans="1:15" x14ac:dyDescent="0.3">
      <c r="A19" s="16"/>
      <c r="B19" s="16"/>
      <c r="C19" s="16"/>
      <c r="D19" s="17" t="str">
        <f>IFERROR(INDEX('Регистър на риска'!$I:$I,MATCH(A19,'Регистър на риска'!$A:$A,0)),"")</f>
        <v/>
      </c>
      <c r="E19" s="16"/>
      <c r="F19" s="16"/>
      <c r="G19" s="16"/>
      <c r="H19" s="16"/>
      <c r="I19" s="16"/>
      <c r="J19" s="16"/>
      <c r="K19" s="16"/>
      <c r="L19" s="16"/>
      <c r="M19" s="16"/>
      <c r="N19" s="17" t="str">
        <f t="shared" si="0"/>
        <v/>
      </c>
      <c r="O19" s="16"/>
    </row>
    <row r="20" spans="1:15" x14ac:dyDescent="0.3">
      <c r="A20" s="16"/>
      <c r="B20" s="16"/>
      <c r="C20" s="16"/>
      <c r="D20" s="17" t="str">
        <f>IFERROR(INDEX('Регистър на риска'!$I:$I,MATCH(A20,'Регистър на риска'!$A:$A,0)),"")</f>
        <v/>
      </c>
      <c r="E20" s="16"/>
      <c r="F20" s="16"/>
      <c r="G20" s="16"/>
      <c r="H20" s="16"/>
      <c r="I20" s="16"/>
      <c r="J20" s="16"/>
      <c r="K20" s="16"/>
      <c r="L20" s="16"/>
      <c r="M20" s="16"/>
      <c r="N20" s="17" t="str">
        <f t="shared" si="0"/>
        <v/>
      </c>
      <c r="O20" s="16"/>
    </row>
    <row r="21" spans="1:15" x14ac:dyDescent="0.3">
      <c r="A21" s="16"/>
      <c r="B21" s="16"/>
      <c r="C21" s="16"/>
      <c r="D21" s="17" t="str">
        <f>IFERROR(INDEX('Регистър на риска'!$I:$I,MATCH(A21,'Регистър на риска'!$A:$A,0)),"")</f>
        <v/>
      </c>
      <c r="E21" s="16"/>
      <c r="F21" s="16"/>
      <c r="G21" s="16"/>
      <c r="H21" s="16"/>
      <c r="I21" s="16"/>
      <c r="J21" s="16"/>
      <c r="K21" s="16"/>
      <c r="L21" s="16"/>
      <c r="M21" s="16"/>
      <c r="N21" s="17" t="str">
        <f t="shared" si="0"/>
        <v/>
      </c>
      <c r="O21" s="16"/>
    </row>
    <row r="22" spans="1:15" x14ac:dyDescent="0.3">
      <c r="A22" s="16"/>
      <c r="B22" s="16"/>
      <c r="C22" s="16"/>
      <c r="D22" s="17" t="str">
        <f>IFERROR(INDEX('Регистър на риска'!$I:$I,MATCH(A22,'Регистър на риска'!$A:$A,0)),"")</f>
        <v/>
      </c>
      <c r="E22" s="16"/>
      <c r="F22" s="16"/>
      <c r="G22" s="16"/>
      <c r="H22" s="16"/>
      <c r="I22" s="16"/>
      <c r="J22" s="16"/>
      <c r="K22" s="16"/>
      <c r="L22" s="16"/>
      <c r="M22" s="16"/>
      <c r="N22" s="17" t="str">
        <f t="shared" si="0"/>
        <v/>
      </c>
      <c r="O22" s="16"/>
    </row>
    <row r="23" spans="1:15" x14ac:dyDescent="0.3">
      <c r="A23" s="16"/>
      <c r="B23" s="16"/>
      <c r="C23" s="16"/>
      <c r="D23" s="17" t="str">
        <f>IFERROR(INDEX('Регистър на риска'!$I:$I,MATCH(A23,'Регистър на риска'!$A:$A,0)),"")</f>
        <v/>
      </c>
      <c r="E23" s="16"/>
      <c r="F23" s="16"/>
      <c r="G23" s="16"/>
      <c r="H23" s="16"/>
      <c r="I23" s="16"/>
      <c r="J23" s="16"/>
      <c r="K23" s="16"/>
      <c r="L23" s="16"/>
      <c r="M23" s="16"/>
      <c r="N23" s="17" t="str">
        <f t="shared" si="0"/>
        <v/>
      </c>
      <c r="O23" s="16"/>
    </row>
    <row r="24" spans="1:15" x14ac:dyDescent="0.3">
      <c r="A24" s="16"/>
      <c r="B24" s="16"/>
      <c r="C24" s="16"/>
      <c r="D24" s="17" t="str">
        <f>IFERROR(INDEX('Регистър на риска'!$I:$I,MATCH(A24,'Регистър на риска'!$A:$A,0)),"")</f>
        <v/>
      </c>
      <c r="E24" s="16"/>
      <c r="F24" s="16"/>
      <c r="G24" s="16"/>
      <c r="H24" s="16"/>
      <c r="I24" s="16"/>
      <c r="J24" s="16"/>
      <c r="K24" s="16"/>
      <c r="L24" s="16"/>
      <c r="M24" s="16"/>
      <c r="N24" s="17" t="str">
        <f t="shared" si="0"/>
        <v/>
      </c>
      <c r="O24" s="16"/>
    </row>
    <row r="25" spans="1:15" x14ac:dyDescent="0.3">
      <c r="A25" s="16"/>
      <c r="B25" s="16"/>
      <c r="C25" s="16"/>
      <c r="D25" s="17" t="str">
        <f>IFERROR(INDEX('Регистър на риска'!$I:$I,MATCH(A25,'Регистър на риска'!$A:$A,0)),"")</f>
        <v/>
      </c>
      <c r="E25" s="16"/>
      <c r="F25" s="16"/>
      <c r="G25" s="16"/>
      <c r="H25" s="16"/>
      <c r="I25" s="16"/>
      <c r="J25" s="16"/>
      <c r="K25" s="16"/>
      <c r="L25" s="16"/>
      <c r="M25" s="16"/>
      <c r="N25" s="17" t="str">
        <f t="shared" si="0"/>
        <v/>
      </c>
      <c r="O25" s="16"/>
    </row>
    <row r="26" spans="1:15" x14ac:dyDescent="0.3">
      <c r="A26" s="16"/>
      <c r="B26" s="16"/>
      <c r="C26" s="16"/>
      <c r="D26" s="17" t="str">
        <f>IFERROR(INDEX('Регистър на риска'!$I:$I,MATCH(A26,'Регистър на риска'!$A:$A,0)),"")</f>
        <v/>
      </c>
      <c r="E26" s="16"/>
      <c r="F26" s="16"/>
      <c r="G26" s="16"/>
      <c r="H26" s="16"/>
      <c r="I26" s="16"/>
      <c r="J26" s="16"/>
      <c r="K26" s="16"/>
      <c r="L26" s="16"/>
      <c r="M26" s="16"/>
      <c r="N26" s="17" t="str">
        <f t="shared" si="0"/>
        <v/>
      </c>
      <c r="O26" s="16"/>
    </row>
    <row r="27" spans="1:15" x14ac:dyDescent="0.3">
      <c r="A27" s="16"/>
      <c r="B27" s="16"/>
      <c r="C27" s="16"/>
      <c r="D27" s="17" t="str">
        <f>IFERROR(INDEX('Регистър на риска'!$I:$I,MATCH(A27,'Регистър на риска'!$A:$A,0)),"")</f>
        <v/>
      </c>
      <c r="E27" s="16"/>
      <c r="F27" s="16"/>
      <c r="G27" s="16"/>
      <c r="H27" s="16"/>
      <c r="I27" s="16"/>
      <c r="J27" s="16"/>
      <c r="K27" s="16"/>
      <c r="L27" s="16"/>
      <c r="M27" s="16"/>
      <c r="N27" s="17" t="str">
        <f t="shared" si="0"/>
        <v/>
      </c>
      <c r="O27" s="16"/>
    </row>
    <row r="28" spans="1:15" x14ac:dyDescent="0.3">
      <c r="A28" s="16"/>
      <c r="B28" s="16"/>
      <c r="C28" s="16"/>
      <c r="D28" s="17" t="str">
        <f>IFERROR(INDEX('Регистър на риска'!$I:$I,MATCH(A28,'Регистър на риска'!$A:$A,0)),"")</f>
        <v/>
      </c>
      <c r="E28" s="16"/>
      <c r="F28" s="16"/>
      <c r="G28" s="16"/>
      <c r="H28" s="16"/>
      <c r="I28" s="16"/>
      <c r="J28" s="16"/>
      <c r="K28" s="16"/>
      <c r="L28" s="16"/>
      <c r="M28" s="16"/>
      <c r="N28" s="17" t="str">
        <f t="shared" si="0"/>
        <v/>
      </c>
      <c r="O28" s="16"/>
    </row>
    <row r="29" spans="1:15" x14ac:dyDescent="0.3">
      <c r="A29" s="16"/>
      <c r="B29" s="16"/>
      <c r="C29" s="16"/>
      <c r="D29" s="17" t="str">
        <f>IFERROR(INDEX('Регистър на риска'!$I:$I,MATCH(A29,'Регистър на риска'!$A:$A,0)),"")</f>
        <v/>
      </c>
      <c r="E29" s="16"/>
      <c r="F29" s="16"/>
      <c r="G29" s="16"/>
      <c r="H29" s="16"/>
      <c r="I29" s="16"/>
      <c r="J29" s="16"/>
      <c r="K29" s="16"/>
      <c r="L29" s="16"/>
      <c r="M29" s="16"/>
      <c r="N29" s="17" t="str">
        <f t="shared" si="0"/>
        <v/>
      </c>
      <c r="O29" s="16"/>
    </row>
    <row r="30" spans="1:15" x14ac:dyDescent="0.3">
      <c r="A30" s="16"/>
      <c r="B30" s="16"/>
      <c r="C30" s="16"/>
      <c r="D30" s="17" t="str">
        <f>IFERROR(INDEX('Регистър на риска'!$I:$I,MATCH(A30,'Регистър на риска'!$A:$A,0)),"")</f>
        <v/>
      </c>
      <c r="E30" s="16"/>
      <c r="F30" s="16"/>
      <c r="G30" s="16"/>
      <c r="H30" s="16"/>
      <c r="I30" s="16"/>
      <c r="J30" s="16"/>
      <c r="K30" s="16"/>
      <c r="L30" s="16"/>
      <c r="M30" s="16"/>
      <c r="N30" s="17" t="str">
        <f t="shared" si="0"/>
        <v/>
      </c>
      <c r="O30" s="16"/>
    </row>
    <row r="31" spans="1:15" x14ac:dyDescent="0.3">
      <c r="A31" s="16"/>
      <c r="B31" s="16"/>
      <c r="C31" s="16"/>
      <c r="D31" s="17" t="str">
        <f>IFERROR(INDEX('Регистър на риска'!$I:$I,MATCH(A31,'Регистър на риска'!$A:$A,0)),"")</f>
        <v/>
      </c>
      <c r="E31" s="16"/>
      <c r="F31" s="16"/>
      <c r="G31" s="16"/>
      <c r="H31" s="16"/>
      <c r="I31" s="16"/>
      <c r="J31" s="16"/>
      <c r="K31" s="16"/>
      <c r="L31" s="16"/>
      <c r="M31" s="16"/>
      <c r="N31" s="17" t="str">
        <f t="shared" si="0"/>
        <v/>
      </c>
      <c r="O31" s="16"/>
    </row>
    <row r="32" spans="1:15" x14ac:dyDescent="0.3">
      <c r="A32" s="16"/>
      <c r="B32" s="16"/>
      <c r="C32" s="16"/>
      <c r="D32" s="17" t="str">
        <f>IFERROR(INDEX('Регистър на риска'!$I:$I,MATCH(A32,'Регистър на риска'!$A:$A,0)),"")</f>
        <v/>
      </c>
      <c r="E32" s="16"/>
      <c r="F32" s="16"/>
      <c r="G32" s="16"/>
      <c r="H32" s="16"/>
      <c r="I32" s="16"/>
      <c r="J32" s="16"/>
      <c r="K32" s="16"/>
      <c r="L32" s="16"/>
      <c r="M32" s="16"/>
      <c r="N32" s="17" t="str">
        <f t="shared" si="0"/>
        <v/>
      </c>
      <c r="O32" s="16"/>
    </row>
    <row r="33" spans="1:15" x14ac:dyDescent="0.3">
      <c r="A33" s="16"/>
      <c r="B33" s="16"/>
      <c r="C33" s="16"/>
      <c r="D33" s="17" t="str">
        <f>IFERROR(INDEX('Регистър на риска'!$I:$I,MATCH(A33,'Регистър на риска'!$A:$A,0)),"")</f>
        <v/>
      </c>
      <c r="E33" s="16"/>
      <c r="F33" s="16"/>
      <c r="G33" s="16"/>
      <c r="H33" s="16"/>
      <c r="I33" s="16"/>
      <c r="J33" s="16"/>
      <c r="K33" s="16"/>
      <c r="L33" s="16"/>
      <c r="M33" s="16"/>
      <c r="N33" s="17" t="str">
        <f t="shared" si="0"/>
        <v/>
      </c>
      <c r="O33" s="16"/>
    </row>
    <row r="34" spans="1:15" x14ac:dyDescent="0.3">
      <c r="A34" s="16"/>
      <c r="B34" s="16"/>
      <c r="C34" s="16"/>
      <c r="D34" s="17" t="str">
        <f>IFERROR(INDEX('Регистър на риска'!$I:$I,MATCH(A34,'Регистър на риска'!$A:$A,0)),"")</f>
        <v/>
      </c>
      <c r="E34" s="16"/>
      <c r="F34" s="16"/>
      <c r="G34" s="16"/>
      <c r="H34" s="16"/>
      <c r="I34" s="16"/>
      <c r="J34" s="16"/>
      <c r="K34" s="16"/>
      <c r="L34" s="16"/>
      <c r="M34" s="16"/>
      <c r="N34" s="17" t="str">
        <f t="shared" si="0"/>
        <v/>
      </c>
      <c r="O34" s="16"/>
    </row>
    <row r="35" spans="1:15" x14ac:dyDescent="0.3">
      <c r="A35" s="16"/>
      <c r="B35" s="16"/>
      <c r="C35" s="16"/>
      <c r="D35" s="17" t="str">
        <f>IFERROR(INDEX('Регистър на риска'!$I:$I,MATCH(A35,'Регистър на риска'!$A:$A,0)),"")</f>
        <v/>
      </c>
      <c r="E35" s="16"/>
      <c r="F35" s="16"/>
      <c r="G35" s="16"/>
      <c r="H35" s="16"/>
      <c r="I35" s="16"/>
      <c r="J35" s="16"/>
      <c r="K35" s="16"/>
      <c r="L35" s="16"/>
      <c r="M35" s="16"/>
      <c r="N35" s="17" t="str">
        <f t="shared" si="0"/>
        <v/>
      </c>
      <c r="O35" s="16"/>
    </row>
    <row r="36" spans="1:15" x14ac:dyDescent="0.3">
      <c r="A36" s="16"/>
      <c r="B36" s="16"/>
      <c r="C36" s="16"/>
      <c r="D36" s="17" t="str">
        <f>IFERROR(INDEX('Регистър на риска'!$I:$I,MATCH(A36,'Регистър на риска'!$A:$A,0)),"")</f>
        <v/>
      </c>
      <c r="E36" s="16"/>
      <c r="F36" s="16"/>
      <c r="G36" s="16"/>
      <c r="H36" s="16"/>
      <c r="I36" s="16"/>
      <c r="J36" s="16"/>
      <c r="K36" s="16"/>
      <c r="L36" s="16"/>
      <c r="M36" s="16"/>
      <c r="N36" s="17" t="str">
        <f t="shared" si="0"/>
        <v/>
      </c>
      <c r="O36" s="16"/>
    </row>
    <row r="37" spans="1:15" x14ac:dyDescent="0.3">
      <c r="A37" s="16"/>
      <c r="B37" s="16"/>
      <c r="C37" s="16"/>
      <c r="D37" s="17" t="str">
        <f>IFERROR(INDEX('Регистър на риска'!$I:$I,MATCH(A37,'Регистър на риска'!$A:$A,0)),"")</f>
        <v/>
      </c>
      <c r="E37" s="16"/>
      <c r="F37" s="16"/>
      <c r="G37" s="16"/>
      <c r="H37" s="16"/>
      <c r="I37" s="16"/>
      <c r="J37" s="16"/>
      <c r="K37" s="16"/>
      <c r="L37" s="16"/>
      <c r="M37" s="16"/>
      <c r="N37" s="17" t="str">
        <f t="shared" si="0"/>
        <v/>
      </c>
      <c r="O37" s="16"/>
    </row>
    <row r="38" spans="1:15" x14ac:dyDescent="0.3">
      <c r="A38" s="16"/>
      <c r="B38" s="16"/>
      <c r="C38" s="16"/>
      <c r="D38" s="17" t="str">
        <f>IFERROR(INDEX('Регистър на риска'!$I:$I,MATCH(A38,'Регистър на риска'!$A:$A,0)),"")</f>
        <v/>
      </c>
      <c r="E38" s="16"/>
      <c r="F38" s="16"/>
      <c r="G38" s="16"/>
      <c r="H38" s="16"/>
      <c r="I38" s="16"/>
      <c r="J38" s="16"/>
      <c r="K38" s="16"/>
      <c r="L38" s="16"/>
      <c r="M38" s="16"/>
      <c r="N38" s="17" t="str">
        <f t="shared" si="0"/>
        <v/>
      </c>
      <c r="O38" s="16"/>
    </row>
    <row r="39" spans="1:15" x14ac:dyDescent="0.3">
      <c r="A39" s="16"/>
      <c r="B39" s="16"/>
      <c r="C39" s="16"/>
      <c r="D39" s="17" t="str">
        <f>IFERROR(INDEX('Регистър на риска'!$I:$I,MATCH(A39,'Регистър на риска'!$A:$A,0)),"")</f>
        <v/>
      </c>
      <c r="E39" s="16"/>
      <c r="F39" s="16"/>
      <c r="G39" s="16"/>
      <c r="H39" s="16"/>
      <c r="I39" s="16"/>
      <c r="J39" s="16"/>
      <c r="K39" s="16"/>
      <c r="L39" s="16"/>
      <c r="M39" s="16"/>
      <c r="N39" s="17" t="str">
        <f t="shared" si="0"/>
        <v/>
      </c>
      <c r="O39" s="16"/>
    </row>
    <row r="40" spans="1:15" x14ac:dyDescent="0.3">
      <c r="A40" s="16"/>
      <c r="B40" s="16"/>
      <c r="C40" s="16"/>
      <c r="D40" s="17" t="str">
        <f>IFERROR(INDEX('Регистър на риска'!$I:$I,MATCH(A40,'Регистър на риска'!$A:$A,0)),"")</f>
        <v/>
      </c>
      <c r="E40" s="16"/>
      <c r="F40" s="16"/>
      <c r="G40" s="16"/>
      <c r="H40" s="16"/>
      <c r="I40" s="16"/>
      <c r="J40" s="16"/>
      <c r="K40" s="16"/>
      <c r="L40" s="16"/>
      <c r="M40" s="16"/>
      <c r="N40" s="17" t="str">
        <f t="shared" si="0"/>
        <v/>
      </c>
      <c r="O40" s="16"/>
    </row>
    <row r="41" spans="1:15" x14ac:dyDescent="0.3">
      <c r="A41" s="16"/>
      <c r="B41" s="16"/>
      <c r="C41" s="16"/>
      <c r="D41" s="17" t="str">
        <f>IFERROR(INDEX('Регистър на риска'!$I:$I,MATCH(A41,'Регистър на риска'!$A:$A,0)),"")</f>
        <v/>
      </c>
      <c r="E41" s="16"/>
      <c r="F41" s="16"/>
      <c r="G41" s="16"/>
      <c r="H41" s="16"/>
      <c r="I41" s="16"/>
      <c r="J41" s="16"/>
      <c r="K41" s="16"/>
      <c r="L41" s="16"/>
      <c r="M41" s="16"/>
      <c r="N41" s="17" t="str">
        <f t="shared" si="0"/>
        <v/>
      </c>
      <c r="O41" s="16"/>
    </row>
    <row r="42" spans="1:15" x14ac:dyDescent="0.3">
      <c r="A42" s="16"/>
      <c r="B42" s="16"/>
      <c r="C42" s="16"/>
      <c r="D42" s="17" t="str">
        <f>IFERROR(INDEX('Регистър на риска'!$I:$I,MATCH(A42,'Регистър на риска'!$A:$A,0)),"")</f>
        <v/>
      </c>
      <c r="E42" s="16"/>
      <c r="F42" s="16"/>
      <c r="G42" s="16"/>
      <c r="H42" s="16"/>
      <c r="I42" s="16"/>
      <c r="J42" s="16"/>
      <c r="K42" s="16"/>
      <c r="L42" s="16"/>
      <c r="M42" s="16"/>
      <c r="N42" s="17" t="str">
        <f t="shared" si="0"/>
        <v/>
      </c>
      <c r="O42" s="16"/>
    </row>
    <row r="43" spans="1:15" x14ac:dyDescent="0.3">
      <c r="A43" s="16"/>
      <c r="B43" s="16"/>
      <c r="C43" s="16"/>
      <c r="D43" s="17" t="str">
        <f>IFERROR(INDEX('Регистър на риска'!$I:$I,MATCH(A43,'Регистър на риска'!$A:$A,0)),"")</f>
        <v/>
      </c>
      <c r="E43" s="16"/>
      <c r="F43" s="16"/>
      <c r="G43" s="16"/>
      <c r="H43" s="16"/>
      <c r="I43" s="16"/>
      <c r="J43" s="16"/>
      <c r="K43" s="16"/>
      <c r="L43" s="16"/>
      <c r="M43" s="16"/>
      <c r="N43" s="17" t="str">
        <f t="shared" si="0"/>
        <v/>
      </c>
      <c r="O43" s="16"/>
    </row>
    <row r="44" spans="1:15" x14ac:dyDescent="0.3">
      <c r="A44" s="16"/>
      <c r="B44" s="16"/>
      <c r="C44" s="16"/>
      <c r="D44" s="17" t="str">
        <f>IFERROR(INDEX('Регистър на риска'!$I:$I,MATCH(A44,'Регистър на риска'!$A:$A,0)),"")</f>
        <v/>
      </c>
      <c r="E44" s="16"/>
      <c r="F44" s="16"/>
      <c r="G44" s="16"/>
      <c r="H44" s="16"/>
      <c r="I44" s="16"/>
      <c r="J44" s="16"/>
      <c r="K44" s="16"/>
      <c r="L44" s="16"/>
      <c r="M44" s="16"/>
      <c r="N44" s="17" t="str">
        <f t="shared" si="0"/>
        <v/>
      </c>
      <c r="O44" s="16"/>
    </row>
    <row r="45" spans="1:15" x14ac:dyDescent="0.3">
      <c r="A45" s="16"/>
      <c r="B45" s="16"/>
      <c r="C45" s="16"/>
      <c r="D45" s="17" t="str">
        <f>IFERROR(INDEX('Регистър на риска'!$I:$I,MATCH(A45,'Регистър на риска'!$A:$A,0)),"")</f>
        <v/>
      </c>
      <c r="E45" s="16"/>
      <c r="F45" s="16"/>
      <c r="G45" s="16"/>
      <c r="H45" s="16"/>
      <c r="I45" s="16"/>
      <c r="J45" s="16"/>
      <c r="K45" s="16"/>
      <c r="L45" s="16"/>
      <c r="M45" s="16"/>
      <c r="N45" s="17" t="str">
        <f t="shared" si="0"/>
        <v/>
      </c>
      <c r="O45" s="16"/>
    </row>
    <row r="46" spans="1:15" x14ac:dyDescent="0.3">
      <c r="A46" s="16"/>
      <c r="B46" s="16"/>
      <c r="C46" s="16"/>
      <c r="D46" s="17" t="str">
        <f>IFERROR(INDEX('Регистър на риска'!$I:$I,MATCH(A46,'Регистър на риска'!$A:$A,0)),"")</f>
        <v/>
      </c>
      <c r="E46" s="16"/>
      <c r="F46" s="16"/>
      <c r="G46" s="16"/>
      <c r="H46" s="16"/>
      <c r="I46" s="16"/>
      <c r="J46" s="16"/>
      <c r="K46" s="16"/>
      <c r="L46" s="16"/>
      <c r="M46" s="16"/>
      <c r="N46" s="17" t="str">
        <f t="shared" si="0"/>
        <v/>
      </c>
      <c r="O46" s="16"/>
    </row>
    <row r="47" spans="1:15" x14ac:dyDescent="0.3">
      <c r="A47" s="16"/>
      <c r="B47" s="16"/>
      <c r="C47" s="16"/>
      <c r="D47" s="17" t="str">
        <f>IFERROR(INDEX('Регистър на риска'!$I:$I,MATCH(A47,'Регистър на риска'!$A:$A,0)),"")</f>
        <v/>
      </c>
      <c r="E47" s="16"/>
      <c r="F47" s="16"/>
      <c r="G47" s="16"/>
      <c r="H47" s="16"/>
      <c r="I47" s="16"/>
      <c r="J47" s="16"/>
      <c r="K47" s="16"/>
      <c r="L47" s="16"/>
      <c r="M47" s="16"/>
      <c r="N47" s="17" t="str">
        <f t="shared" si="0"/>
        <v/>
      </c>
      <c r="O47" s="16"/>
    </row>
    <row r="48" spans="1:15" x14ac:dyDescent="0.3">
      <c r="A48" s="16"/>
      <c r="B48" s="16"/>
      <c r="C48" s="16"/>
      <c r="D48" s="17" t="str">
        <f>IFERROR(INDEX('Регистър на риска'!$I:$I,MATCH(A48,'Регистър на риска'!$A:$A,0)),"")</f>
        <v/>
      </c>
      <c r="E48" s="16"/>
      <c r="F48" s="16"/>
      <c r="G48" s="16"/>
      <c r="H48" s="16"/>
      <c r="I48" s="16"/>
      <c r="J48" s="16"/>
      <c r="K48" s="16"/>
      <c r="L48" s="16"/>
      <c r="M48" s="16"/>
      <c r="N48" s="17" t="str">
        <f t="shared" si="0"/>
        <v/>
      </c>
      <c r="O48" s="16"/>
    </row>
    <row r="49" spans="1:15" x14ac:dyDescent="0.3">
      <c r="A49" s="16"/>
      <c r="B49" s="16"/>
      <c r="C49" s="16"/>
      <c r="D49" s="17" t="str">
        <f>IFERROR(INDEX('Регистър на риска'!$I:$I,MATCH(A49,'Регистър на риска'!$A:$A,0)),"")</f>
        <v/>
      </c>
      <c r="E49" s="16"/>
      <c r="F49" s="16"/>
      <c r="G49" s="16"/>
      <c r="H49" s="16"/>
      <c r="I49" s="16"/>
      <c r="J49" s="16"/>
      <c r="K49" s="16"/>
      <c r="L49" s="16"/>
      <c r="M49" s="16"/>
      <c r="N49" s="17" t="str">
        <f t="shared" si="0"/>
        <v/>
      </c>
      <c r="O49" s="16"/>
    </row>
    <row r="50" spans="1:15" x14ac:dyDescent="0.3">
      <c r="A50" s="16"/>
      <c r="B50" s="16"/>
      <c r="C50" s="16"/>
      <c r="D50" s="17" t="str">
        <f>IFERROR(INDEX('Регистър на риска'!$I:$I,MATCH(A50,'Регистър на риска'!$A:$A,0)),"")</f>
        <v/>
      </c>
      <c r="E50" s="16"/>
      <c r="F50" s="16"/>
      <c r="G50" s="16"/>
      <c r="H50" s="16"/>
      <c r="I50" s="16"/>
      <c r="J50" s="16"/>
      <c r="K50" s="16"/>
      <c r="L50" s="16"/>
      <c r="M50" s="16"/>
      <c r="N50" s="17" t="str">
        <f t="shared" si="0"/>
        <v/>
      </c>
      <c r="O50" s="16"/>
    </row>
    <row r="51" spans="1:15" x14ac:dyDescent="0.3">
      <c r="A51" s="16"/>
      <c r="B51" s="16"/>
      <c r="C51" s="16"/>
      <c r="D51" s="17" t="str">
        <f>IFERROR(INDEX('Регистър на риска'!$I:$I,MATCH(A51,'Регистър на риска'!$A:$A,0)),"")</f>
        <v/>
      </c>
      <c r="E51" s="16"/>
      <c r="F51" s="16"/>
      <c r="G51" s="16"/>
      <c r="H51" s="16"/>
      <c r="I51" s="16"/>
      <c r="J51" s="16"/>
      <c r="K51" s="16"/>
      <c r="L51" s="16"/>
      <c r="M51" s="16"/>
      <c r="N51" s="17" t="str">
        <f t="shared" si="0"/>
        <v/>
      </c>
      <c r="O51" s="16"/>
    </row>
    <row r="52" spans="1:15" x14ac:dyDescent="0.3">
      <c r="A52" s="16"/>
      <c r="B52" s="16"/>
      <c r="C52" s="16"/>
      <c r="D52" s="17" t="str">
        <f>IFERROR(INDEX('Регистър на риска'!$I:$I,MATCH(A52,'Регистър на риска'!$A:$A,0)),"")</f>
        <v/>
      </c>
      <c r="E52" s="16"/>
      <c r="F52" s="16"/>
      <c r="G52" s="16"/>
      <c r="H52" s="16"/>
      <c r="I52" s="16"/>
      <c r="J52" s="16"/>
      <c r="K52" s="16"/>
      <c r="L52" s="16"/>
      <c r="M52" s="16"/>
      <c r="N52" s="17" t="str">
        <f t="shared" si="0"/>
        <v/>
      </c>
      <c r="O52" s="16"/>
    </row>
    <row r="53" spans="1:15" x14ac:dyDescent="0.3">
      <c r="A53" s="16"/>
      <c r="B53" s="16"/>
      <c r="C53" s="16"/>
      <c r="D53" s="17" t="str">
        <f>IFERROR(INDEX('Регистър на риска'!$I:$I,MATCH(A53,'Регистър на риска'!$A:$A,0)),"")</f>
        <v/>
      </c>
      <c r="E53" s="16"/>
      <c r="F53" s="16"/>
      <c r="G53" s="16"/>
      <c r="H53" s="16"/>
      <c r="I53" s="16"/>
      <c r="J53" s="16"/>
      <c r="K53" s="16"/>
      <c r="L53" s="16"/>
      <c r="M53" s="16"/>
      <c r="N53" s="17" t="str">
        <f t="shared" si="0"/>
        <v/>
      </c>
      <c r="O53" s="16"/>
    </row>
    <row r="54" spans="1:15" x14ac:dyDescent="0.3">
      <c r="A54" s="16"/>
      <c r="B54" s="16"/>
      <c r="C54" s="16"/>
      <c r="D54" s="17" t="str">
        <f>IFERROR(INDEX('Регистър на риска'!$I:$I,MATCH(A54,'Регистър на риска'!$A:$A,0)),"")</f>
        <v/>
      </c>
      <c r="E54" s="16"/>
      <c r="F54" s="16"/>
      <c r="G54" s="16"/>
      <c r="H54" s="16"/>
      <c r="I54" s="16"/>
      <c r="J54" s="16"/>
      <c r="K54" s="16"/>
      <c r="L54" s="16"/>
      <c r="M54" s="16"/>
      <c r="N54" s="17" t="str">
        <f t="shared" si="0"/>
        <v/>
      </c>
      <c r="O54" s="16"/>
    </row>
    <row r="55" spans="1:15" x14ac:dyDescent="0.3">
      <c r="A55" s="16"/>
      <c r="B55" s="16"/>
      <c r="C55" s="16"/>
      <c r="D55" s="17" t="str">
        <f>IFERROR(INDEX('Регистър на риска'!$I:$I,MATCH(A55,'Регистър на риска'!$A:$A,0)),"")</f>
        <v/>
      </c>
      <c r="E55" s="16"/>
      <c r="F55" s="16"/>
      <c r="G55" s="16"/>
      <c r="H55" s="16"/>
      <c r="I55" s="16"/>
      <c r="J55" s="16"/>
      <c r="K55" s="16"/>
      <c r="L55" s="16"/>
      <c r="M55" s="16"/>
      <c r="N55" s="17" t="str">
        <f t="shared" si="0"/>
        <v/>
      </c>
      <c r="O55" s="16"/>
    </row>
    <row r="56" spans="1:15" x14ac:dyDescent="0.3">
      <c r="A56" s="16"/>
      <c r="B56" s="16"/>
      <c r="C56" s="16"/>
      <c r="D56" s="17" t="str">
        <f>IFERROR(INDEX('Регистър на риска'!$I:$I,MATCH(A56,'Регистър на риска'!$A:$A,0)),"")</f>
        <v/>
      </c>
      <c r="E56" s="16"/>
      <c r="F56" s="16"/>
      <c r="G56" s="16"/>
      <c r="H56" s="16"/>
      <c r="I56" s="16"/>
      <c r="J56" s="16"/>
      <c r="K56" s="16"/>
      <c r="L56" s="16"/>
      <c r="M56" s="16"/>
      <c r="N56" s="17" t="str">
        <f t="shared" si="0"/>
        <v/>
      </c>
      <c r="O56" s="16"/>
    </row>
    <row r="57" spans="1:15" x14ac:dyDescent="0.3">
      <c r="A57" s="16"/>
      <c r="B57" s="16"/>
      <c r="C57" s="16"/>
      <c r="D57" s="17" t="str">
        <f>IFERROR(INDEX('Регистър на риска'!$I:$I,MATCH(A57,'Регистър на риска'!$A:$A,0)),"")</f>
        <v/>
      </c>
      <c r="E57" s="16"/>
      <c r="F57" s="16"/>
      <c r="G57" s="16"/>
      <c r="H57" s="16"/>
      <c r="I57" s="16"/>
      <c r="J57" s="16"/>
      <c r="K57" s="16"/>
      <c r="L57" s="16"/>
      <c r="M57" s="16"/>
      <c r="N57" s="17" t="str">
        <f t="shared" si="0"/>
        <v/>
      </c>
      <c r="O57" s="16"/>
    </row>
    <row r="58" spans="1:15" x14ac:dyDescent="0.3">
      <c r="A58" s="16"/>
      <c r="B58" s="16"/>
      <c r="C58" s="16"/>
      <c r="D58" s="17" t="str">
        <f>IFERROR(INDEX('Регистър на риска'!$I:$I,MATCH(A58,'Регистър на риска'!$A:$A,0)),"")</f>
        <v/>
      </c>
      <c r="E58" s="16"/>
      <c r="F58" s="16"/>
      <c r="G58" s="16"/>
      <c r="H58" s="16"/>
      <c r="I58" s="16"/>
      <c r="J58" s="16"/>
      <c r="K58" s="16"/>
      <c r="L58" s="16"/>
      <c r="M58" s="16"/>
      <c r="N58" s="17" t="str">
        <f t="shared" si="0"/>
        <v/>
      </c>
      <c r="O58" s="16"/>
    </row>
    <row r="59" spans="1:15" x14ac:dyDescent="0.3">
      <c r="A59" s="16"/>
      <c r="B59" s="16"/>
      <c r="C59" s="16"/>
      <c r="D59" s="17" t="str">
        <f>IFERROR(INDEX('Регистър на риска'!$I:$I,MATCH(A59,'Регистър на риска'!$A:$A,0)),"")</f>
        <v/>
      </c>
      <c r="E59" s="16"/>
      <c r="F59" s="16"/>
      <c r="G59" s="16"/>
      <c r="H59" s="16"/>
      <c r="I59" s="16"/>
      <c r="J59" s="16"/>
      <c r="K59" s="16"/>
      <c r="L59" s="16"/>
      <c r="M59" s="16"/>
      <c r="N59" s="17" t="str">
        <f t="shared" si="0"/>
        <v/>
      </c>
      <c r="O59" s="16"/>
    </row>
    <row r="60" spans="1:15" x14ac:dyDescent="0.3">
      <c r="A60" s="16"/>
      <c r="B60" s="16"/>
      <c r="C60" s="16"/>
      <c r="D60" s="17" t="str">
        <f>IFERROR(INDEX('Регистър на риска'!$I:$I,MATCH(A60,'Регистър на риска'!$A:$A,0)),"")</f>
        <v/>
      </c>
      <c r="E60" s="16"/>
      <c r="F60" s="16"/>
      <c r="G60" s="16"/>
      <c r="H60" s="16"/>
      <c r="I60" s="16"/>
      <c r="J60" s="16"/>
      <c r="K60" s="16"/>
      <c r="L60" s="16"/>
      <c r="M60" s="16"/>
      <c r="N60" s="17" t="str">
        <f t="shared" si="0"/>
        <v/>
      </c>
      <c r="O60" s="16"/>
    </row>
    <row r="61" spans="1:15" x14ac:dyDescent="0.3">
      <c r="A61" s="16"/>
      <c r="B61" s="16"/>
      <c r="C61" s="16"/>
      <c r="D61" s="17" t="str">
        <f>IFERROR(INDEX('Регистър на риска'!$I:$I,MATCH(A61,'Регистър на риска'!$A:$A,0)),"")</f>
        <v/>
      </c>
      <c r="E61" s="16"/>
      <c r="F61" s="16"/>
      <c r="G61" s="16"/>
      <c r="H61" s="16"/>
      <c r="I61" s="16"/>
      <c r="J61" s="16"/>
      <c r="K61" s="16"/>
      <c r="L61" s="16"/>
      <c r="M61" s="16"/>
      <c r="N61" s="17" t="str">
        <f t="shared" si="0"/>
        <v/>
      </c>
      <c r="O61" s="16"/>
    </row>
    <row r="62" spans="1:15" x14ac:dyDescent="0.3">
      <c r="A62" s="16"/>
      <c r="B62" s="16"/>
      <c r="C62" s="16"/>
      <c r="D62" s="17" t="str">
        <f>IFERROR(INDEX('Регистър на риска'!$I:$I,MATCH(A62,'Регистър на риска'!$A:$A,0)),"")</f>
        <v/>
      </c>
      <c r="E62" s="16"/>
      <c r="F62" s="16"/>
      <c r="G62" s="16"/>
      <c r="H62" s="16"/>
      <c r="I62" s="16"/>
      <c r="J62" s="16"/>
      <c r="K62" s="16"/>
      <c r="L62" s="16"/>
      <c r="M62" s="16"/>
      <c r="N62" s="17" t="str">
        <f t="shared" si="0"/>
        <v/>
      </c>
      <c r="O62" s="16"/>
    </row>
    <row r="63" spans="1:15" x14ac:dyDescent="0.3">
      <c r="A63" s="16"/>
      <c r="B63" s="16"/>
      <c r="C63" s="16"/>
      <c r="D63" s="17" t="str">
        <f>IFERROR(INDEX('Регистър на риска'!$I:$I,MATCH(A63,'Регистър на риска'!$A:$A,0)),"")</f>
        <v/>
      </c>
      <c r="E63" s="16"/>
      <c r="F63" s="16"/>
      <c r="G63" s="16"/>
      <c r="H63" s="16"/>
      <c r="I63" s="16"/>
      <c r="J63" s="16"/>
      <c r="K63" s="16"/>
      <c r="L63" s="16"/>
      <c r="M63" s="16"/>
      <c r="N63" s="17" t="str">
        <f t="shared" si="0"/>
        <v/>
      </c>
      <c r="O63" s="16"/>
    </row>
    <row r="64" spans="1:15" x14ac:dyDescent="0.3">
      <c r="A64" s="16"/>
      <c r="B64" s="16"/>
      <c r="C64" s="16"/>
      <c r="D64" s="17" t="str">
        <f>IFERROR(INDEX('Регистър на риска'!$I:$I,MATCH(A64,'Регистър на риска'!$A:$A,0)),"")</f>
        <v/>
      </c>
      <c r="E64" s="16"/>
      <c r="F64" s="16"/>
      <c r="G64" s="16"/>
      <c r="H64" s="16"/>
      <c r="I64" s="16"/>
      <c r="J64" s="16"/>
      <c r="K64" s="16"/>
      <c r="L64" s="16"/>
      <c r="M64" s="16"/>
      <c r="N64" s="17" t="str">
        <f t="shared" si="0"/>
        <v/>
      </c>
      <c r="O64" s="16"/>
    </row>
    <row r="65" spans="1:15" x14ac:dyDescent="0.3">
      <c r="A65" s="16"/>
      <c r="B65" s="16"/>
      <c r="C65" s="16"/>
      <c r="D65" s="17" t="str">
        <f>IFERROR(INDEX('Регистър на риска'!$I:$I,MATCH(A65,'Регистър на риска'!$A:$A,0)),"")</f>
        <v/>
      </c>
      <c r="E65" s="16"/>
      <c r="F65" s="16"/>
      <c r="G65" s="16"/>
      <c r="H65" s="16"/>
      <c r="I65" s="16"/>
      <c r="J65" s="16"/>
      <c r="K65" s="16"/>
      <c r="L65" s="16"/>
      <c r="M65" s="16"/>
      <c r="N65" s="17" t="str">
        <f t="shared" si="0"/>
        <v/>
      </c>
      <c r="O65" s="16"/>
    </row>
    <row r="66" spans="1:15" x14ac:dyDescent="0.3">
      <c r="A66" s="16"/>
      <c r="B66" s="16"/>
      <c r="C66" s="16"/>
      <c r="D66" s="17" t="str">
        <f>IFERROR(INDEX('Регистър на риска'!$I:$I,MATCH(A66,'Регистър на риска'!$A:$A,0)),"")</f>
        <v/>
      </c>
      <c r="E66" s="16"/>
      <c r="F66" s="16"/>
      <c r="G66" s="16"/>
      <c r="H66" s="16"/>
      <c r="I66" s="16"/>
      <c r="J66" s="16"/>
      <c r="K66" s="16"/>
      <c r="L66" s="16"/>
      <c r="M66" s="16"/>
      <c r="N66" s="17" t="str">
        <f t="shared" ref="N66:N129" si="1">IF(OR(L66="",M66=""),"",L66*M66)</f>
        <v/>
      </c>
      <c r="O66" s="16"/>
    </row>
    <row r="67" spans="1:15" x14ac:dyDescent="0.3">
      <c r="A67" s="16"/>
      <c r="B67" s="16"/>
      <c r="C67" s="16"/>
      <c r="D67" s="17" t="str">
        <f>IFERROR(INDEX('Регистър на риска'!$I:$I,MATCH(A67,'Регистър на риска'!$A:$A,0)),"")</f>
        <v/>
      </c>
      <c r="E67" s="16"/>
      <c r="F67" s="16"/>
      <c r="G67" s="16"/>
      <c r="H67" s="16"/>
      <c r="I67" s="16"/>
      <c r="J67" s="16"/>
      <c r="K67" s="16"/>
      <c r="L67" s="16"/>
      <c r="M67" s="16"/>
      <c r="N67" s="17" t="str">
        <f t="shared" si="1"/>
        <v/>
      </c>
      <c r="O67" s="16"/>
    </row>
    <row r="68" spans="1:15" x14ac:dyDescent="0.3">
      <c r="A68" s="16"/>
      <c r="B68" s="16"/>
      <c r="C68" s="16"/>
      <c r="D68" s="17" t="str">
        <f>IFERROR(INDEX('Регистър на риска'!$I:$I,MATCH(A68,'Регистър на риска'!$A:$A,0)),"")</f>
        <v/>
      </c>
      <c r="E68" s="16"/>
      <c r="F68" s="16"/>
      <c r="G68" s="16"/>
      <c r="H68" s="16"/>
      <c r="I68" s="16"/>
      <c r="J68" s="16"/>
      <c r="K68" s="16"/>
      <c r="L68" s="16"/>
      <c r="M68" s="16"/>
      <c r="N68" s="17" t="str">
        <f t="shared" si="1"/>
        <v/>
      </c>
      <c r="O68" s="16"/>
    </row>
    <row r="69" spans="1:15" x14ac:dyDescent="0.3">
      <c r="A69" s="16"/>
      <c r="B69" s="16"/>
      <c r="C69" s="16"/>
      <c r="D69" s="17" t="str">
        <f>IFERROR(INDEX('Регистър на риска'!$I:$I,MATCH(A69,'Регистър на риска'!$A:$A,0)),"")</f>
        <v/>
      </c>
      <c r="E69" s="16"/>
      <c r="F69" s="16"/>
      <c r="G69" s="16"/>
      <c r="H69" s="16"/>
      <c r="I69" s="16"/>
      <c r="J69" s="16"/>
      <c r="K69" s="16"/>
      <c r="L69" s="16"/>
      <c r="M69" s="16"/>
      <c r="N69" s="17" t="str">
        <f t="shared" si="1"/>
        <v/>
      </c>
      <c r="O69" s="16"/>
    </row>
    <row r="70" spans="1:15" x14ac:dyDescent="0.3">
      <c r="A70" s="16"/>
      <c r="B70" s="16"/>
      <c r="C70" s="16"/>
      <c r="D70" s="17" t="str">
        <f>IFERROR(INDEX('Регистър на риска'!$I:$I,MATCH(A70,'Регистър на риска'!$A:$A,0)),"")</f>
        <v/>
      </c>
      <c r="E70" s="16"/>
      <c r="F70" s="16"/>
      <c r="G70" s="16"/>
      <c r="H70" s="16"/>
      <c r="I70" s="16"/>
      <c r="J70" s="16"/>
      <c r="K70" s="16"/>
      <c r="L70" s="16"/>
      <c r="M70" s="16"/>
      <c r="N70" s="17" t="str">
        <f t="shared" si="1"/>
        <v/>
      </c>
      <c r="O70" s="16"/>
    </row>
    <row r="71" spans="1:15" x14ac:dyDescent="0.3">
      <c r="A71" s="16"/>
      <c r="B71" s="16"/>
      <c r="C71" s="16"/>
      <c r="D71" s="17" t="str">
        <f>IFERROR(INDEX('Регистър на риска'!$I:$I,MATCH(A71,'Регистър на риска'!$A:$A,0)),"")</f>
        <v/>
      </c>
      <c r="E71" s="16"/>
      <c r="F71" s="16"/>
      <c r="G71" s="16"/>
      <c r="H71" s="16"/>
      <c r="I71" s="16"/>
      <c r="J71" s="16"/>
      <c r="K71" s="16"/>
      <c r="L71" s="16"/>
      <c r="M71" s="16"/>
      <c r="N71" s="17" t="str">
        <f t="shared" si="1"/>
        <v/>
      </c>
      <c r="O71" s="16"/>
    </row>
    <row r="72" spans="1:15" x14ac:dyDescent="0.3">
      <c r="A72" s="16"/>
      <c r="B72" s="16"/>
      <c r="C72" s="16"/>
      <c r="D72" s="17" t="str">
        <f>IFERROR(INDEX('Регистър на риска'!$I:$I,MATCH(A72,'Регистър на риска'!$A:$A,0)),"")</f>
        <v/>
      </c>
      <c r="E72" s="16"/>
      <c r="F72" s="16"/>
      <c r="G72" s="16"/>
      <c r="H72" s="16"/>
      <c r="I72" s="16"/>
      <c r="J72" s="16"/>
      <c r="K72" s="16"/>
      <c r="L72" s="16"/>
      <c r="M72" s="16"/>
      <c r="N72" s="17" t="str">
        <f t="shared" si="1"/>
        <v/>
      </c>
      <c r="O72" s="16"/>
    </row>
    <row r="73" spans="1:15" x14ac:dyDescent="0.3">
      <c r="A73" s="16"/>
      <c r="B73" s="16"/>
      <c r="C73" s="16"/>
      <c r="D73" s="17" t="str">
        <f>IFERROR(INDEX('Регистър на риска'!$I:$I,MATCH(A73,'Регистър на риска'!$A:$A,0)),"")</f>
        <v/>
      </c>
      <c r="E73" s="16"/>
      <c r="F73" s="16"/>
      <c r="G73" s="16"/>
      <c r="H73" s="16"/>
      <c r="I73" s="16"/>
      <c r="J73" s="16"/>
      <c r="K73" s="16"/>
      <c r="L73" s="16"/>
      <c r="M73" s="16"/>
      <c r="N73" s="17" t="str">
        <f t="shared" si="1"/>
        <v/>
      </c>
      <c r="O73" s="16"/>
    </row>
    <row r="74" spans="1:15" x14ac:dyDescent="0.3">
      <c r="A74" s="16"/>
      <c r="B74" s="16"/>
      <c r="C74" s="16"/>
      <c r="D74" s="17" t="str">
        <f>IFERROR(INDEX('Регистър на риска'!$I:$I,MATCH(A74,'Регистър на риска'!$A:$A,0)),"")</f>
        <v/>
      </c>
      <c r="E74" s="16"/>
      <c r="F74" s="16"/>
      <c r="G74" s="16"/>
      <c r="H74" s="16"/>
      <c r="I74" s="16"/>
      <c r="J74" s="16"/>
      <c r="K74" s="16"/>
      <c r="L74" s="16"/>
      <c r="M74" s="16"/>
      <c r="N74" s="17" t="str">
        <f t="shared" si="1"/>
        <v/>
      </c>
      <c r="O74" s="16"/>
    </row>
    <row r="75" spans="1:15" x14ac:dyDescent="0.3">
      <c r="A75" s="16"/>
      <c r="B75" s="16"/>
      <c r="C75" s="16"/>
      <c r="D75" s="17" t="str">
        <f>IFERROR(INDEX('Регистър на риска'!$I:$I,MATCH(A75,'Регистър на риска'!$A:$A,0)),"")</f>
        <v/>
      </c>
      <c r="E75" s="16"/>
      <c r="F75" s="16"/>
      <c r="G75" s="16"/>
      <c r="H75" s="16"/>
      <c r="I75" s="16"/>
      <c r="J75" s="16"/>
      <c r="K75" s="16"/>
      <c r="L75" s="16"/>
      <c r="M75" s="16"/>
      <c r="N75" s="17" t="str">
        <f t="shared" si="1"/>
        <v/>
      </c>
      <c r="O75" s="16"/>
    </row>
    <row r="76" spans="1:15" x14ac:dyDescent="0.3">
      <c r="A76" s="16"/>
      <c r="B76" s="16"/>
      <c r="C76" s="16"/>
      <c r="D76" s="17" t="str">
        <f>IFERROR(INDEX('Регистър на риска'!$I:$I,MATCH(A76,'Регистър на риска'!$A:$A,0)),"")</f>
        <v/>
      </c>
      <c r="E76" s="16"/>
      <c r="F76" s="16"/>
      <c r="G76" s="16"/>
      <c r="H76" s="16"/>
      <c r="I76" s="16"/>
      <c r="J76" s="16"/>
      <c r="K76" s="16"/>
      <c r="L76" s="16"/>
      <c r="M76" s="16"/>
      <c r="N76" s="17" t="str">
        <f t="shared" si="1"/>
        <v/>
      </c>
      <c r="O76" s="16"/>
    </row>
    <row r="77" spans="1:15" x14ac:dyDescent="0.3">
      <c r="A77" s="16"/>
      <c r="B77" s="16"/>
      <c r="C77" s="16"/>
      <c r="D77" s="17" t="str">
        <f>IFERROR(INDEX('Регистър на риска'!$I:$I,MATCH(A77,'Регистър на риска'!$A:$A,0)),"")</f>
        <v/>
      </c>
      <c r="E77" s="16"/>
      <c r="F77" s="16"/>
      <c r="G77" s="16"/>
      <c r="H77" s="16"/>
      <c r="I77" s="16"/>
      <c r="J77" s="16"/>
      <c r="K77" s="16"/>
      <c r="L77" s="16"/>
      <c r="M77" s="16"/>
      <c r="N77" s="17" t="str">
        <f t="shared" si="1"/>
        <v/>
      </c>
      <c r="O77" s="16"/>
    </row>
    <row r="78" spans="1:15" x14ac:dyDescent="0.3">
      <c r="A78" s="16"/>
      <c r="B78" s="16"/>
      <c r="C78" s="16"/>
      <c r="D78" s="17" t="str">
        <f>IFERROR(INDEX('Регистър на риска'!$I:$I,MATCH(A78,'Регистър на риска'!$A:$A,0)),"")</f>
        <v/>
      </c>
      <c r="E78" s="16"/>
      <c r="F78" s="16"/>
      <c r="G78" s="16"/>
      <c r="H78" s="16"/>
      <c r="I78" s="16"/>
      <c r="J78" s="16"/>
      <c r="K78" s="16"/>
      <c r="L78" s="16"/>
      <c r="M78" s="16"/>
      <c r="N78" s="17" t="str">
        <f t="shared" si="1"/>
        <v/>
      </c>
      <c r="O78" s="16"/>
    </row>
    <row r="79" spans="1:15" x14ac:dyDescent="0.3">
      <c r="A79" s="16"/>
      <c r="B79" s="16"/>
      <c r="C79" s="16"/>
      <c r="D79" s="17" t="str">
        <f>IFERROR(INDEX('Регистър на риска'!$I:$I,MATCH(A79,'Регистър на риска'!$A:$A,0)),"")</f>
        <v/>
      </c>
      <c r="E79" s="16"/>
      <c r="F79" s="16"/>
      <c r="G79" s="16"/>
      <c r="H79" s="16"/>
      <c r="I79" s="16"/>
      <c r="J79" s="16"/>
      <c r="K79" s="16"/>
      <c r="L79" s="16"/>
      <c r="M79" s="16"/>
      <c r="N79" s="17" t="str">
        <f t="shared" si="1"/>
        <v/>
      </c>
      <c r="O79" s="16"/>
    </row>
    <row r="80" spans="1:15" x14ac:dyDescent="0.3">
      <c r="A80" s="16"/>
      <c r="B80" s="16"/>
      <c r="C80" s="16"/>
      <c r="D80" s="17" t="str">
        <f>IFERROR(INDEX('Регистър на риска'!$I:$I,MATCH(A80,'Регистър на риска'!$A:$A,0)),"")</f>
        <v/>
      </c>
      <c r="E80" s="16"/>
      <c r="F80" s="16"/>
      <c r="G80" s="16"/>
      <c r="H80" s="16"/>
      <c r="I80" s="16"/>
      <c r="J80" s="16"/>
      <c r="K80" s="16"/>
      <c r="L80" s="16"/>
      <c r="M80" s="16"/>
      <c r="N80" s="17" t="str">
        <f t="shared" si="1"/>
        <v/>
      </c>
      <c r="O80" s="16"/>
    </row>
    <row r="81" spans="1:15" x14ac:dyDescent="0.3">
      <c r="A81" s="16"/>
      <c r="B81" s="16"/>
      <c r="C81" s="16"/>
      <c r="D81" s="17" t="str">
        <f>IFERROR(INDEX('Регистър на риска'!$I:$I,MATCH(A81,'Регистър на риска'!$A:$A,0)),"")</f>
        <v/>
      </c>
      <c r="E81" s="16"/>
      <c r="F81" s="16"/>
      <c r="G81" s="16"/>
      <c r="H81" s="16"/>
      <c r="I81" s="16"/>
      <c r="J81" s="16"/>
      <c r="K81" s="16"/>
      <c r="L81" s="16"/>
      <c r="M81" s="16"/>
      <c r="N81" s="17" t="str">
        <f t="shared" si="1"/>
        <v/>
      </c>
      <c r="O81" s="16"/>
    </row>
    <row r="82" spans="1:15" x14ac:dyDescent="0.3">
      <c r="A82" s="16"/>
      <c r="B82" s="16"/>
      <c r="C82" s="16"/>
      <c r="D82" s="17" t="str">
        <f>IFERROR(INDEX('Регистър на риска'!$I:$I,MATCH(A82,'Регистър на риска'!$A:$A,0)),"")</f>
        <v/>
      </c>
      <c r="E82" s="16"/>
      <c r="F82" s="16"/>
      <c r="G82" s="16"/>
      <c r="H82" s="16"/>
      <c r="I82" s="16"/>
      <c r="J82" s="16"/>
      <c r="K82" s="16"/>
      <c r="L82" s="16"/>
      <c r="M82" s="16"/>
      <c r="N82" s="17" t="str">
        <f t="shared" si="1"/>
        <v/>
      </c>
      <c r="O82" s="16"/>
    </row>
    <row r="83" spans="1:15" x14ac:dyDescent="0.3">
      <c r="A83" s="16"/>
      <c r="B83" s="16"/>
      <c r="C83" s="16"/>
      <c r="D83" s="17" t="str">
        <f>IFERROR(INDEX('Регистър на риска'!$I:$I,MATCH(A83,'Регистър на риска'!$A:$A,0)),"")</f>
        <v/>
      </c>
      <c r="E83" s="16"/>
      <c r="F83" s="16"/>
      <c r="G83" s="16"/>
      <c r="H83" s="16"/>
      <c r="I83" s="16"/>
      <c r="J83" s="16"/>
      <c r="K83" s="16"/>
      <c r="L83" s="16"/>
      <c r="M83" s="16"/>
      <c r="N83" s="17" t="str">
        <f t="shared" si="1"/>
        <v/>
      </c>
      <c r="O83" s="16"/>
    </row>
    <row r="84" spans="1:15" x14ac:dyDescent="0.3">
      <c r="A84" s="16"/>
      <c r="B84" s="16"/>
      <c r="C84" s="16"/>
      <c r="D84" s="17" t="str">
        <f>IFERROR(INDEX('Регистър на риска'!$I:$I,MATCH(A84,'Регистър на риска'!$A:$A,0)),"")</f>
        <v/>
      </c>
      <c r="E84" s="16"/>
      <c r="F84" s="16"/>
      <c r="G84" s="16"/>
      <c r="H84" s="16"/>
      <c r="I84" s="16"/>
      <c r="J84" s="16"/>
      <c r="K84" s="16"/>
      <c r="L84" s="16"/>
      <c r="M84" s="16"/>
      <c r="N84" s="17" t="str">
        <f t="shared" si="1"/>
        <v/>
      </c>
      <c r="O84" s="16"/>
    </row>
    <row r="85" spans="1:15" x14ac:dyDescent="0.3">
      <c r="A85" s="16"/>
      <c r="B85" s="16"/>
      <c r="C85" s="16"/>
      <c r="D85" s="17" t="str">
        <f>IFERROR(INDEX('Регистър на риска'!$I:$I,MATCH(A85,'Регистър на риска'!$A:$A,0)),"")</f>
        <v/>
      </c>
      <c r="E85" s="16"/>
      <c r="F85" s="16"/>
      <c r="G85" s="16"/>
      <c r="H85" s="16"/>
      <c r="I85" s="16"/>
      <c r="J85" s="16"/>
      <c r="K85" s="16"/>
      <c r="L85" s="16"/>
      <c r="M85" s="16"/>
      <c r="N85" s="17" t="str">
        <f t="shared" si="1"/>
        <v/>
      </c>
      <c r="O85" s="16"/>
    </row>
    <row r="86" spans="1:15" x14ac:dyDescent="0.3">
      <c r="A86" s="16"/>
      <c r="B86" s="16"/>
      <c r="C86" s="16"/>
      <c r="D86" s="17" t="str">
        <f>IFERROR(INDEX('Регистър на риска'!$I:$I,MATCH(A86,'Регистър на риска'!$A:$A,0)),"")</f>
        <v/>
      </c>
      <c r="E86" s="16"/>
      <c r="F86" s="16"/>
      <c r="G86" s="16"/>
      <c r="H86" s="16"/>
      <c r="I86" s="16"/>
      <c r="J86" s="16"/>
      <c r="K86" s="16"/>
      <c r="L86" s="16"/>
      <c r="M86" s="16"/>
      <c r="N86" s="17" t="str">
        <f t="shared" si="1"/>
        <v/>
      </c>
      <c r="O86" s="16"/>
    </row>
    <row r="87" spans="1:15" x14ac:dyDescent="0.3">
      <c r="A87" s="16"/>
      <c r="B87" s="16"/>
      <c r="C87" s="16"/>
      <c r="D87" s="17" t="str">
        <f>IFERROR(INDEX('Регистър на риска'!$I:$I,MATCH(A87,'Регистър на риска'!$A:$A,0)),"")</f>
        <v/>
      </c>
      <c r="E87" s="16"/>
      <c r="F87" s="16"/>
      <c r="G87" s="16"/>
      <c r="H87" s="16"/>
      <c r="I87" s="16"/>
      <c r="J87" s="16"/>
      <c r="K87" s="16"/>
      <c r="L87" s="16"/>
      <c r="M87" s="16"/>
      <c r="N87" s="17" t="str">
        <f t="shared" si="1"/>
        <v/>
      </c>
      <c r="O87" s="16"/>
    </row>
    <row r="88" spans="1:15" x14ac:dyDescent="0.3">
      <c r="A88" s="16"/>
      <c r="B88" s="16"/>
      <c r="C88" s="16"/>
      <c r="D88" s="17" t="str">
        <f>IFERROR(INDEX('Регистър на риска'!$I:$I,MATCH(A88,'Регистър на риска'!$A:$A,0)),"")</f>
        <v/>
      </c>
      <c r="E88" s="16"/>
      <c r="F88" s="16"/>
      <c r="G88" s="16"/>
      <c r="H88" s="16"/>
      <c r="I88" s="16"/>
      <c r="J88" s="16"/>
      <c r="K88" s="16"/>
      <c r="L88" s="16"/>
      <c r="M88" s="16"/>
      <c r="N88" s="17" t="str">
        <f t="shared" si="1"/>
        <v/>
      </c>
      <c r="O88" s="16"/>
    </row>
    <row r="89" spans="1:15" x14ac:dyDescent="0.3">
      <c r="A89" s="16"/>
      <c r="B89" s="16"/>
      <c r="C89" s="16"/>
      <c r="D89" s="17" t="str">
        <f>IFERROR(INDEX('Регистър на риска'!$I:$I,MATCH(A89,'Регистър на риска'!$A:$A,0)),"")</f>
        <v/>
      </c>
      <c r="E89" s="16"/>
      <c r="F89" s="16"/>
      <c r="G89" s="16"/>
      <c r="H89" s="16"/>
      <c r="I89" s="16"/>
      <c r="J89" s="16"/>
      <c r="K89" s="16"/>
      <c r="L89" s="16"/>
      <c r="M89" s="16"/>
      <c r="N89" s="17" t="str">
        <f t="shared" si="1"/>
        <v/>
      </c>
      <c r="O89" s="16"/>
    </row>
    <row r="90" spans="1:15" x14ac:dyDescent="0.3">
      <c r="A90" s="16"/>
      <c r="B90" s="16"/>
      <c r="C90" s="16"/>
      <c r="D90" s="17" t="str">
        <f>IFERROR(INDEX('Регистър на риска'!$I:$I,MATCH(A90,'Регистър на риска'!$A:$A,0)),"")</f>
        <v/>
      </c>
      <c r="E90" s="16"/>
      <c r="F90" s="16"/>
      <c r="G90" s="16"/>
      <c r="H90" s="16"/>
      <c r="I90" s="16"/>
      <c r="J90" s="16"/>
      <c r="K90" s="16"/>
      <c r="L90" s="16"/>
      <c r="M90" s="16"/>
      <c r="N90" s="17" t="str">
        <f t="shared" si="1"/>
        <v/>
      </c>
      <c r="O90" s="16"/>
    </row>
    <row r="91" spans="1:15" x14ac:dyDescent="0.3">
      <c r="A91" s="16"/>
      <c r="B91" s="16"/>
      <c r="C91" s="16"/>
      <c r="D91" s="17" t="str">
        <f>IFERROR(INDEX('Регистър на риска'!$I:$I,MATCH(A91,'Регистър на риска'!$A:$A,0)),"")</f>
        <v/>
      </c>
      <c r="E91" s="16"/>
      <c r="F91" s="16"/>
      <c r="G91" s="16"/>
      <c r="H91" s="16"/>
      <c r="I91" s="16"/>
      <c r="J91" s="16"/>
      <c r="K91" s="16"/>
      <c r="L91" s="16"/>
      <c r="M91" s="16"/>
      <c r="N91" s="17" t="str">
        <f t="shared" si="1"/>
        <v/>
      </c>
      <c r="O91" s="16"/>
    </row>
    <row r="92" spans="1:15" x14ac:dyDescent="0.3">
      <c r="A92" s="16"/>
      <c r="B92" s="16"/>
      <c r="C92" s="16"/>
      <c r="D92" s="17" t="str">
        <f>IFERROR(INDEX('Регистър на риска'!$I:$I,MATCH(A92,'Регистър на риска'!$A:$A,0)),"")</f>
        <v/>
      </c>
      <c r="E92" s="16"/>
      <c r="F92" s="16"/>
      <c r="G92" s="16"/>
      <c r="H92" s="16"/>
      <c r="I92" s="16"/>
      <c r="J92" s="16"/>
      <c r="K92" s="16"/>
      <c r="L92" s="16"/>
      <c r="M92" s="16"/>
      <c r="N92" s="17" t="str">
        <f t="shared" si="1"/>
        <v/>
      </c>
      <c r="O92" s="16"/>
    </row>
    <row r="93" spans="1:15" x14ac:dyDescent="0.3">
      <c r="A93" s="16"/>
      <c r="B93" s="16"/>
      <c r="C93" s="16"/>
      <c r="D93" s="17" t="str">
        <f>IFERROR(INDEX('Регистър на риска'!$I:$I,MATCH(A93,'Регистър на риска'!$A:$A,0)),"")</f>
        <v/>
      </c>
      <c r="E93" s="16"/>
      <c r="F93" s="16"/>
      <c r="G93" s="16"/>
      <c r="H93" s="16"/>
      <c r="I93" s="16"/>
      <c r="J93" s="16"/>
      <c r="K93" s="16"/>
      <c r="L93" s="16"/>
      <c r="M93" s="16"/>
      <c r="N93" s="17" t="str">
        <f t="shared" si="1"/>
        <v/>
      </c>
      <c r="O93" s="16"/>
    </row>
    <row r="94" spans="1:15" x14ac:dyDescent="0.3">
      <c r="A94" s="16"/>
      <c r="B94" s="16"/>
      <c r="C94" s="16"/>
      <c r="D94" s="17" t="str">
        <f>IFERROR(INDEX('Регистър на риска'!$I:$I,MATCH(A94,'Регистър на риска'!$A:$A,0)),"")</f>
        <v/>
      </c>
      <c r="E94" s="16"/>
      <c r="F94" s="16"/>
      <c r="G94" s="16"/>
      <c r="H94" s="16"/>
      <c r="I94" s="16"/>
      <c r="J94" s="16"/>
      <c r="K94" s="16"/>
      <c r="L94" s="16"/>
      <c r="M94" s="16"/>
      <c r="N94" s="17" t="str">
        <f t="shared" si="1"/>
        <v/>
      </c>
      <c r="O94" s="16"/>
    </row>
    <row r="95" spans="1:15" x14ac:dyDescent="0.3">
      <c r="A95" s="16"/>
      <c r="B95" s="16"/>
      <c r="C95" s="16"/>
      <c r="D95" s="17" t="str">
        <f>IFERROR(INDEX('Регистър на риска'!$I:$I,MATCH(A95,'Регистър на риска'!$A:$A,0)),"")</f>
        <v/>
      </c>
      <c r="E95" s="16"/>
      <c r="F95" s="16"/>
      <c r="G95" s="16"/>
      <c r="H95" s="16"/>
      <c r="I95" s="16"/>
      <c r="J95" s="16"/>
      <c r="K95" s="16"/>
      <c r="L95" s="16"/>
      <c r="M95" s="16"/>
      <c r="N95" s="17" t="str">
        <f t="shared" si="1"/>
        <v/>
      </c>
      <c r="O95" s="16"/>
    </row>
    <row r="96" spans="1:15" x14ac:dyDescent="0.3">
      <c r="A96" s="16"/>
      <c r="B96" s="16"/>
      <c r="C96" s="16"/>
      <c r="D96" s="17" t="str">
        <f>IFERROR(INDEX('Регистър на риска'!$I:$I,MATCH(A96,'Регистър на риска'!$A:$A,0)),"")</f>
        <v/>
      </c>
      <c r="E96" s="16"/>
      <c r="F96" s="16"/>
      <c r="G96" s="16"/>
      <c r="H96" s="16"/>
      <c r="I96" s="16"/>
      <c r="J96" s="16"/>
      <c r="K96" s="16"/>
      <c r="L96" s="16"/>
      <c r="M96" s="16"/>
      <c r="N96" s="17" t="str">
        <f t="shared" si="1"/>
        <v/>
      </c>
      <c r="O96" s="16"/>
    </row>
    <row r="97" spans="1:15" x14ac:dyDescent="0.3">
      <c r="A97" s="16"/>
      <c r="B97" s="16"/>
      <c r="C97" s="16"/>
      <c r="D97" s="17" t="str">
        <f>IFERROR(INDEX('Регистър на риска'!$I:$I,MATCH(A97,'Регистър на риска'!$A:$A,0)),"")</f>
        <v/>
      </c>
      <c r="E97" s="16"/>
      <c r="F97" s="16"/>
      <c r="G97" s="16"/>
      <c r="H97" s="16"/>
      <c r="I97" s="16"/>
      <c r="J97" s="16"/>
      <c r="K97" s="16"/>
      <c r="L97" s="16"/>
      <c r="M97" s="16"/>
      <c r="N97" s="17" t="str">
        <f t="shared" si="1"/>
        <v/>
      </c>
      <c r="O97" s="16"/>
    </row>
    <row r="98" spans="1:15" x14ac:dyDescent="0.3">
      <c r="A98" s="16"/>
      <c r="B98" s="16"/>
      <c r="C98" s="16"/>
      <c r="D98" s="17" t="str">
        <f>IFERROR(INDEX('Регистър на риска'!$I:$I,MATCH(A98,'Регистър на риска'!$A:$A,0)),"")</f>
        <v/>
      </c>
      <c r="E98" s="16"/>
      <c r="F98" s="16"/>
      <c r="G98" s="16"/>
      <c r="H98" s="16"/>
      <c r="I98" s="16"/>
      <c r="J98" s="16"/>
      <c r="K98" s="16"/>
      <c r="L98" s="16"/>
      <c r="M98" s="16"/>
      <c r="N98" s="17" t="str">
        <f t="shared" si="1"/>
        <v/>
      </c>
      <c r="O98" s="16"/>
    </row>
    <row r="99" spans="1:15" x14ac:dyDescent="0.3">
      <c r="A99" s="16"/>
      <c r="B99" s="16"/>
      <c r="C99" s="16"/>
      <c r="D99" s="17" t="str">
        <f>IFERROR(INDEX('Регистър на риска'!$I:$I,MATCH(A99,'Регистър на риска'!$A:$A,0)),"")</f>
        <v/>
      </c>
      <c r="E99" s="16"/>
      <c r="F99" s="16"/>
      <c r="G99" s="16"/>
      <c r="H99" s="16"/>
      <c r="I99" s="16"/>
      <c r="J99" s="16"/>
      <c r="K99" s="16"/>
      <c r="L99" s="16"/>
      <c r="M99" s="16"/>
      <c r="N99" s="17" t="str">
        <f t="shared" si="1"/>
        <v/>
      </c>
      <c r="O99" s="16"/>
    </row>
    <row r="100" spans="1:15" x14ac:dyDescent="0.3">
      <c r="A100" s="16"/>
      <c r="B100" s="16"/>
      <c r="C100" s="16"/>
      <c r="D100" s="17" t="str">
        <f>IFERROR(INDEX('Регистър на риска'!$I:$I,MATCH(A100,'Регистър на риска'!$A:$A,0)),"")</f>
        <v/>
      </c>
      <c r="E100" s="16"/>
      <c r="F100" s="16"/>
      <c r="G100" s="16"/>
      <c r="H100" s="16"/>
      <c r="I100" s="16"/>
      <c r="J100" s="16"/>
      <c r="K100" s="16"/>
      <c r="L100" s="16"/>
      <c r="M100" s="16"/>
      <c r="N100" s="17" t="str">
        <f t="shared" si="1"/>
        <v/>
      </c>
      <c r="O100" s="16"/>
    </row>
    <row r="101" spans="1:15" x14ac:dyDescent="0.3">
      <c r="A101" s="16"/>
      <c r="B101" s="16"/>
      <c r="C101" s="16"/>
      <c r="D101" s="17" t="str">
        <f>IFERROR(INDEX('Регистър на риска'!$I:$I,MATCH(A101,'Регистър на риска'!$A:$A,0)),"")</f>
        <v/>
      </c>
      <c r="E101" s="16"/>
      <c r="F101" s="16"/>
      <c r="G101" s="16"/>
      <c r="H101" s="16"/>
      <c r="I101" s="16"/>
      <c r="J101" s="16"/>
      <c r="K101" s="16"/>
      <c r="L101" s="16"/>
      <c r="M101" s="16"/>
      <c r="N101" s="17" t="str">
        <f t="shared" si="1"/>
        <v/>
      </c>
      <c r="O101" s="16"/>
    </row>
    <row r="102" spans="1:15" x14ac:dyDescent="0.3">
      <c r="A102" s="16"/>
      <c r="B102" s="16"/>
      <c r="C102" s="16"/>
      <c r="D102" s="17" t="str">
        <f>IFERROR(INDEX('Регистър на риска'!$I:$I,MATCH(A102,'Регистър на риска'!$A:$A,0)),"")</f>
        <v/>
      </c>
      <c r="E102" s="16"/>
      <c r="F102" s="16"/>
      <c r="G102" s="16"/>
      <c r="H102" s="16"/>
      <c r="I102" s="16"/>
      <c r="J102" s="16"/>
      <c r="K102" s="16"/>
      <c r="L102" s="16"/>
      <c r="M102" s="16"/>
      <c r="N102" s="17" t="str">
        <f t="shared" si="1"/>
        <v/>
      </c>
      <c r="O102" s="16"/>
    </row>
    <row r="103" spans="1:15" x14ac:dyDescent="0.3">
      <c r="A103" s="16"/>
      <c r="B103" s="16"/>
      <c r="C103" s="16"/>
      <c r="D103" s="17" t="str">
        <f>IFERROR(INDEX('Регистър на риска'!$I:$I,MATCH(A103,'Регистър на риска'!$A:$A,0)),"")</f>
        <v/>
      </c>
      <c r="E103" s="16"/>
      <c r="F103" s="16"/>
      <c r="G103" s="16"/>
      <c r="H103" s="16"/>
      <c r="I103" s="16"/>
      <c r="J103" s="16"/>
      <c r="K103" s="16"/>
      <c r="L103" s="16"/>
      <c r="M103" s="16"/>
      <c r="N103" s="17" t="str">
        <f t="shared" si="1"/>
        <v/>
      </c>
      <c r="O103" s="16"/>
    </row>
    <row r="104" spans="1:15" x14ac:dyDescent="0.3">
      <c r="A104" s="16"/>
      <c r="B104" s="16"/>
      <c r="C104" s="16"/>
      <c r="D104" s="17" t="str">
        <f>IFERROR(INDEX('Регистър на риска'!$I:$I,MATCH(A104,'Регистър на риска'!$A:$A,0)),"")</f>
        <v/>
      </c>
      <c r="E104" s="16"/>
      <c r="F104" s="16"/>
      <c r="G104" s="16"/>
      <c r="H104" s="16"/>
      <c r="I104" s="16"/>
      <c r="J104" s="16"/>
      <c r="K104" s="16"/>
      <c r="L104" s="16"/>
      <c r="M104" s="16"/>
      <c r="N104" s="17" t="str">
        <f t="shared" si="1"/>
        <v/>
      </c>
      <c r="O104" s="16"/>
    </row>
    <row r="105" spans="1:15" x14ac:dyDescent="0.3">
      <c r="A105" s="16"/>
      <c r="B105" s="16"/>
      <c r="C105" s="16"/>
      <c r="D105" s="17" t="str">
        <f>IFERROR(INDEX('Регистър на риска'!$I:$I,MATCH(A105,'Регистър на риска'!$A:$A,0)),"")</f>
        <v/>
      </c>
      <c r="E105" s="16"/>
      <c r="F105" s="16"/>
      <c r="G105" s="16"/>
      <c r="H105" s="16"/>
      <c r="I105" s="16"/>
      <c r="J105" s="16"/>
      <c r="K105" s="16"/>
      <c r="L105" s="16"/>
      <c r="M105" s="16"/>
      <c r="N105" s="17" t="str">
        <f t="shared" si="1"/>
        <v/>
      </c>
      <c r="O105" s="16"/>
    </row>
    <row r="106" spans="1:15" x14ac:dyDescent="0.3">
      <c r="A106" s="16"/>
      <c r="B106" s="16"/>
      <c r="C106" s="16"/>
      <c r="D106" s="17" t="str">
        <f>IFERROR(INDEX('Регистър на риска'!$I:$I,MATCH(A106,'Регистър на риска'!$A:$A,0)),"")</f>
        <v/>
      </c>
      <c r="E106" s="16"/>
      <c r="F106" s="16"/>
      <c r="G106" s="16"/>
      <c r="H106" s="16"/>
      <c r="I106" s="16"/>
      <c r="J106" s="16"/>
      <c r="K106" s="16"/>
      <c r="L106" s="16"/>
      <c r="M106" s="16"/>
      <c r="N106" s="17" t="str">
        <f t="shared" si="1"/>
        <v/>
      </c>
      <c r="O106" s="16"/>
    </row>
    <row r="107" spans="1:15" x14ac:dyDescent="0.3">
      <c r="A107" s="16"/>
      <c r="B107" s="16"/>
      <c r="C107" s="16"/>
      <c r="D107" s="17" t="str">
        <f>IFERROR(INDEX('Регистър на риска'!$I:$I,MATCH(A107,'Регистър на риска'!$A:$A,0)),"")</f>
        <v/>
      </c>
      <c r="E107" s="16"/>
      <c r="F107" s="16"/>
      <c r="G107" s="16"/>
      <c r="H107" s="16"/>
      <c r="I107" s="16"/>
      <c r="J107" s="16"/>
      <c r="K107" s="16"/>
      <c r="L107" s="16"/>
      <c r="M107" s="16"/>
      <c r="N107" s="17" t="str">
        <f t="shared" si="1"/>
        <v/>
      </c>
      <c r="O107" s="16"/>
    </row>
    <row r="108" spans="1:15" x14ac:dyDescent="0.3">
      <c r="A108" s="16"/>
      <c r="B108" s="16"/>
      <c r="C108" s="16"/>
      <c r="D108" s="17" t="str">
        <f>IFERROR(INDEX('Регистър на риска'!$I:$I,MATCH(A108,'Регистър на риска'!$A:$A,0)),"")</f>
        <v/>
      </c>
      <c r="E108" s="16"/>
      <c r="F108" s="16"/>
      <c r="G108" s="16"/>
      <c r="H108" s="16"/>
      <c r="I108" s="16"/>
      <c r="J108" s="16"/>
      <c r="K108" s="16"/>
      <c r="L108" s="16"/>
      <c r="M108" s="16"/>
      <c r="N108" s="17" t="str">
        <f t="shared" si="1"/>
        <v/>
      </c>
      <c r="O108" s="16"/>
    </row>
    <row r="109" spans="1:15" x14ac:dyDescent="0.3">
      <c r="A109" s="16"/>
      <c r="B109" s="16"/>
      <c r="C109" s="16"/>
      <c r="D109" s="17" t="str">
        <f>IFERROR(INDEX('Регистър на риска'!$I:$I,MATCH(A109,'Регистър на риска'!$A:$A,0)),"")</f>
        <v/>
      </c>
      <c r="E109" s="16"/>
      <c r="F109" s="16"/>
      <c r="G109" s="16"/>
      <c r="H109" s="16"/>
      <c r="I109" s="16"/>
      <c r="J109" s="16"/>
      <c r="K109" s="16"/>
      <c r="L109" s="16"/>
      <c r="M109" s="16"/>
      <c r="N109" s="17" t="str">
        <f t="shared" si="1"/>
        <v/>
      </c>
      <c r="O109" s="16"/>
    </row>
    <row r="110" spans="1:15" x14ac:dyDescent="0.3">
      <c r="A110" s="16"/>
      <c r="B110" s="16"/>
      <c r="C110" s="16"/>
      <c r="D110" s="17" t="str">
        <f>IFERROR(INDEX('Регистър на риска'!$I:$I,MATCH(A110,'Регистър на риска'!$A:$A,0)),"")</f>
        <v/>
      </c>
      <c r="E110" s="16"/>
      <c r="F110" s="16"/>
      <c r="G110" s="16"/>
      <c r="H110" s="16"/>
      <c r="I110" s="16"/>
      <c r="J110" s="16"/>
      <c r="K110" s="16"/>
      <c r="L110" s="16"/>
      <c r="M110" s="16"/>
      <c r="N110" s="17" t="str">
        <f t="shared" si="1"/>
        <v/>
      </c>
      <c r="O110" s="16"/>
    </row>
    <row r="111" spans="1:15" x14ac:dyDescent="0.3">
      <c r="A111" s="16"/>
      <c r="B111" s="16"/>
      <c r="C111" s="16"/>
      <c r="D111" s="17" t="str">
        <f>IFERROR(INDEX('Регистър на риска'!$I:$I,MATCH(A111,'Регистър на риска'!$A:$A,0)),"")</f>
        <v/>
      </c>
      <c r="E111" s="16"/>
      <c r="F111" s="16"/>
      <c r="G111" s="16"/>
      <c r="H111" s="16"/>
      <c r="I111" s="16"/>
      <c r="J111" s="16"/>
      <c r="K111" s="16"/>
      <c r="L111" s="16"/>
      <c r="M111" s="16"/>
      <c r="N111" s="17" t="str">
        <f t="shared" si="1"/>
        <v/>
      </c>
      <c r="O111" s="16"/>
    </row>
    <row r="112" spans="1:15" x14ac:dyDescent="0.3">
      <c r="A112" s="16"/>
      <c r="B112" s="16"/>
      <c r="C112" s="16"/>
      <c r="D112" s="17" t="str">
        <f>IFERROR(INDEX('Регистър на риска'!$I:$I,MATCH(A112,'Регистър на риска'!$A:$A,0)),"")</f>
        <v/>
      </c>
      <c r="E112" s="16"/>
      <c r="F112" s="16"/>
      <c r="G112" s="16"/>
      <c r="H112" s="16"/>
      <c r="I112" s="16"/>
      <c r="J112" s="16"/>
      <c r="K112" s="16"/>
      <c r="L112" s="16"/>
      <c r="M112" s="16"/>
      <c r="N112" s="17" t="str">
        <f t="shared" si="1"/>
        <v/>
      </c>
      <c r="O112" s="16"/>
    </row>
    <row r="113" spans="1:15" x14ac:dyDescent="0.3">
      <c r="A113" s="16"/>
      <c r="B113" s="16"/>
      <c r="C113" s="16"/>
      <c r="D113" s="17" t="str">
        <f>IFERROR(INDEX('Регистър на риска'!$I:$I,MATCH(A113,'Регистър на риска'!$A:$A,0)),"")</f>
        <v/>
      </c>
      <c r="E113" s="16"/>
      <c r="F113" s="16"/>
      <c r="G113" s="16"/>
      <c r="H113" s="16"/>
      <c r="I113" s="16"/>
      <c r="J113" s="16"/>
      <c r="K113" s="16"/>
      <c r="L113" s="16"/>
      <c r="M113" s="16"/>
      <c r="N113" s="17" t="str">
        <f t="shared" si="1"/>
        <v/>
      </c>
      <c r="O113" s="16"/>
    </row>
    <row r="114" spans="1:15" x14ac:dyDescent="0.3">
      <c r="A114" s="16"/>
      <c r="B114" s="16"/>
      <c r="C114" s="16"/>
      <c r="D114" s="17" t="str">
        <f>IFERROR(INDEX('Регистър на риска'!$I:$I,MATCH(A114,'Регистър на риска'!$A:$A,0)),"")</f>
        <v/>
      </c>
      <c r="E114" s="16"/>
      <c r="F114" s="16"/>
      <c r="G114" s="16"/>
      <c r="H114" s="16"/>
      <c r="I114" s="16"/>
      <c r="J114" s="16"/>
      <c r="K114" s="16"/>
      <c r="L114" s="16"/>
      <c r="M114" s="16"/>
      <c r="N114" s="17" t="str">
        <f t="shared" si="1"/>
        <v/>
      </c>
      <c r="O114" s="16"/>
    </row>
    <row r="115" spans="1:15" x14ac:dyDescent="0.3">
      <c r="A115" s="16"/>
      <c r="B115" s="16"/>
      <c r="C115" s="16"/>
      <c r="D115" s="17" t="str">
        <f>IFERROR(INDEX('Регистър на риска'!$I:$I,MATCH(A115,'Регистър на риска'!$A:$A,0)),"")</f>
        <v/>
      </c>
      <c r="E115" s="16"/>
      <c r="F115" s="16"/>
      <c r="G115" s="16"/>
      <c r="H115" s="16"/>
      <c r="I115" s="16"/>
      <c r="J115" s="16"/>
      <c r="K115" s="16"/>
      <c r="L115" s="16"/>
      <c r="M115" s="16"/>
      <c r="N115" s="17" t="str">
        <f t="shared" si="1"/>
        <v/>
      </c>
      <c r="O115" s="16"/>
    </row>
    <row r="116" spans="1:15" x14ac:dyDescent="0.3">
      <c r="A116" s="16"/>
      <c r="B116" s="16"/>
      <c r="C116" s="16"/>
      <c r="D116" s="17" t="str">
        <f>IFERROR(INDEX('Регистър на риска'!$I:$I,MATCH(A116,'Регистър на риска'!$A:$A,0)),"")</f>
        <v/>
      </c>
      <c r="E116" s="16"/>
      <c r="F116" s="16"/>
      <c r="G116" s="16"/>
      <c r="H116" s="16"/>
      <c r="I116" s="16"/>
      <c r="J116" s="16"/>
      <c r="K116" s="16"/>
      <c r="L116" s="16"/>
      <c r="M116" s="16"/>
      <c r="N116" s="17" t="str">
        <f t="shared" si="1"/>
        <v/>
      </c>
      <c r="O116" s="16"/>
    </row>
    <row r="117" spans="1:15" x14ac:dyDescent="0.3">
      <c r="A117" s="16"/>
      <c r="B117" s="16"/>
      <c r="C117" s="16"/>
      <c r="D117" s="17" t="str">
        <f>IFERROR(INDEX('Регистър на риска'!$I:$I,MATCH(A117,'Регистър на риска'!$A:$A,0)),"")</f>
        <v/>
      </c>
      <c r="E117" s="16"/>
      <c r="F117" s="16"/>
      <c r="G117" s="16"/>
      <c r="H117" s="16"/>
      <c r="I117" s="16"/>
      <c r="J117" s="16"/>
      <c r="K117" s="16"/>
      <c r="L117" s="16"/>
      <c r="M117" s="16"/>
      <c r="N117" s="17" t="str">
        <f t="shared" si="1"/>
        <v/>
      </c>
      <c r="O117" s="16"/>
    </row>
    <row r="118" spans="1:15" x14ac:dyDescent="0.3">
      <c r="A118" s="16"/>
      <c r="B118" s="16"/>
      <c r="C118" s="16"/>
      <c r="D118" s="17" t="str">
        <f>IFERROR(INDEX('Регистър на риска'!$I:$I,MATCH(A118,'Регистър на риска'!$A:$A,0)),"")</f>
        <v/>
      </c>
      <c r="E118" s="16"/>
      <c r="F118" s="16"/>
      <c r="G118" s="16"/>
      <c r="H118" s="16"/>
      <c r="I118" s="16"/>
      <c r="J118" s="16"/>
      <c r="K118" s="16"/>
      <c r="L118" s="16"/>
      <c r="M118" s="16"/>
      <c r="N118" s="17" t="str">
        <f t="shared" si="1"/>
        <v/>
      </c>
      <c r="O118" s="16"/>
    </row>
    <row r="119" spans="1:15" x14ac:dyDescent="0.3">
      <c r="A119" s="16"/>
      <c r="B119" s="16"/>
      <c r="C119" s="16"/>
      <c r="D119" s="17" t="str">
        <f>IFERROR(INDEX('Регистър на риска'!$I:$I,MATCH(A119,'Регистър на риска'!$A:$A,0)),"")</f>
        <v/>
      </c>
      <c r="E119" s="16"/>
      <c r="F119" s="16"/>
      <c r="G119" s="16"/>
      <c r="H119" s="16"/>
      <c r="I119" s="16"/>
      <c r="J119" s="16"/>
      <c r="K119" s="16"/>
      <c r="L119" s="16"/>
      <c r="M119" s="16"/>
      <c r="N119" s="17" t="str">
        <f t="shared" si="1"/>
        <v/>
      </c>
      <c r="O119" s="16"/>
    </row>
    <row r="120" spans="1:15" x14ac:dyDescent="0.3">
      <c r="A120" s="16"/>
      <c r="B120" s="16"/>
      <c r="C120" s="16"/>
      <c r="D120" s="17" t="str">
        <f>IFERROR(INDEX('Регистър на риска'!$I:$I,MATCH(A120,'Регистър на риска'!$A:$A,0)),"")</f>
        <v/>
      </c>
      <c r="E120" s="16"/>
      <c r="F120" s="16"/>
      <c r="G120" s="16"/>
      <c r="H120" s="16"/>
      <c r="I120" s="16"/>
      <c r="J120" s="16"/>
      <c r="K120" s="16"/>
      <c r="L120" s="16"/>
      <c r="M120" s="16"/>
      <c r="N120" s="17" t="str">
        <f t="shared" si="1"/>
        <v/>
      </c>
      <c r="O120" s="16"/>
    </row>
    <row r="121" spans="1:15" x14ac:dyDescent="0.3">
      <c r="A121" s="16"/>
      <c r="B121" s="16"/>
      <c r="C121" s="16"/>
      <c r="D121" s="17" t="str">
        <f>IFERROR(INDEX('Регистър на риска'!$I:$I,MATCH(A121,'Регистър на риска'!$A:$A,0)),"")</f>
        <v/>
      </c>
      <c r="E121" s="16"/>
      <c r="F121" s="16"/>
      <c r="G121" s="16"/>
      <c r="H121" s="16"/>
      <c r="I121" s="16"/>
      <c r="J121" s="16"/>
      <c r="K121" s="16"/>
      <c r="L121" s="16"/>
      <c r="M121" s="16"/>
      <c r="N121" s="17" t="str">
        <f t="shared" si="1"/>
        <v/>
      </c>
      <c r="O121" s="16"/>
    </row>
    <row r="122" spans="1:15" x14ac:dyDescent="0.3">
      <c r="A122" s="16"/>
      <c r="B122" s="16"/>
      <c r="C122" s="16"/>
      <c r="D122" s="17" t="str">
        <f>IFERROR(INDEX('Регистър на риска'!$I:$I,MATCH(A122,'Регистър на риска'!$A:$A,0)),"")</f>
        <v/>
      </c>
      <c r="E122" s="16"/>
      <c r="F122" s="16"/>
      <c r="G122" s="16"/>
      <c r="H122" s="16"/>
      <c r="I122" s="16"/>
      <c r="J122" s="16"/>
      <c r="K122" s="16"/>
      <c r="L122" s="16"/>
      <c r="M122" s="16"/>
      <c r="N122" s="17" t="str">
        <f t="shared" si="1"/>
        <v/>
      </c>
      <c r="O122" s="16"/>
    </row>
    <row r="123" spans="1:15" x14ac:dyDescent="0.3">
      <c r="A123" s="16"/>
      <c r="B123" s="16"/>
      <c r="C123" s="16"/>
      <c r="D123" s="17" t="str">
        <f>IFERROR(INDEX('Регистър на риска'!$I:$I,MATCH(A123,'Регистър на риска'!$A:$A,0)),"")</f>
        <v/>
      </c>
      <c r="E123" s="16"/>
      <c r="F123" s="16"/>
      <c r="G123" s="16"/>
      <c r="H123" s="16"/>
      <c r="I123" s="16"/>
      <c r="J123" s="16"/>
      <c r="K123" s="16"/>
      <c r="L123" s="16"/>
      <c r="M123" s="16"/>
      <c r="N123" s="17" t="str">
        <f t="shared" si="1"/>
        <v/>
      </c>
      <c r="O123" s="16"/>
    </row>
    <row r="124" spans="1:15" x14ac:dyDescent="0.3">
      <c r="A124" s="16"/>
      <c r="B124" s="16"/>
      <c r="C124" s="16"/>
      <c r="D124" s="17" t="str">
        <f>IFERROR(INDEX('Регистър на риска'!$I:$I,MATCH(A124,'Регистър на риска'!$A:$A,0)),"")</f>
        <v/>
      </c>
      <c r="E124" s="16"/>
      <c r="F124" s="16"/>
      <c r="G124" s="16"/>
      <c r="H124" s="16"/>
      <c r="I124" s="16"/>
      <c r="J124" s="16"/>
      <c r="K124" s="16"/>
      <c r="L124" s="16"/>
      <c r="M124" s="16"/>
      <c r="N124" s="17" t="str">
        <f t="shared" si="1"/>
        <v/>
      </c>
      <c r="O124" s="16"/>
    </row>
    <row r="125" spans="1:15" x14ac:dyDescent="0.3">
      <c r="A125" s="16"/>
      <c r="B125" s="16"/>
      <c r="C125" s="16"/>
      <c r="D125" s="17" t="str">
        <f>IFERROR(INDEX('Регистър на риска'!$I:$I,MATCH(A125,'Регистър на риска'!$A:$A,0)),"")</f>
        <v/>
      </c>
      <c r="E125" s="16"/>
      <c r="F125" s="16"/>
      <c r="G125" s="16"/>
      <c r="H125" s="16"/>
      <c r="I125" s="16"/>
      <c r="J125" s="16"/>
      <c r="K125" s="16"/>
      <c r="L125" s="16"/>
      <c r="M125" s="16"/>
      <c r="N125" s="17" t="str">
        <f t="shared" si="1"/>
        <v/>
      </c>
      <c r="O125" s="16"/>
    </row>
    <row r="126" spans="1:15" x14ac:dyDescent="0.3">
      <c r="A126" s="16"/>
      <c r="B126" s="16"/>
      <c r="C126" s="16"/>
      <c r="D126" s="17" t="str">
        <f>IFERROR(INDEX('Регистър на риска'!$I:$I,MATCH(A126,'Регистър на риска'!$A:$A,0)),"")</f>
        <v/>
      </c>
      <c r="E126" s="16"/>
      <c r="F126" s="16"/>
      <c r="G126" s="16"/>
      <c r="H126" s="16"/>
      <c r="I126" s="16"/>
      <c r="J126" s="16"/>
      <c r="K126" s="16"/>
      <c r="L126" s="16"/>
      <c r="M126" s="16"/>
      <c r="N126" s="17" t="str">
        <f t="shared" si="1"/>
        <v/>
      </c>
      <c r="O126" s="16"/>
    </row>
    <row r="127" spans="1:15" x14ac:dyDescent="0.3">
      <c r="A127" s="16"/>
      <c r="B127" s="16"/>
      <c r="C127" s="16"/>
      <c r="D127" s="17" t="str">
        <f>IFERROR(INDEX('Регистър на риска'!$I:$I,MATCH(A127,'Регистър на риска'!$A:$A,0)),"")</f>
        <v/>
      </c>
      <c r="E127" s="16"/>
      <c r="F127" s="16"/>
      <c r="G127" s="16"/>
      <c r="H127" s="16"/>
      <c r="I127" s="16"/>
      <c r="J127" s="16"/>
      <c r="K127" s="16"/>
      <c r="L127" s="16"/>
      <c r="M127" s="16"/>
      <c r="N127" s="17" t="str">
        <f t="shared" si="1"/>
        <v/>
      </c>
      <c r="O127" s="16"/>
    </row>
    <row r="128" spans="1:15" x14ac:dyDescent="0.3">
      <c r="A128" s="16"/>
      <c r="B128" s="16"/>
      <c r="C128" s="16"/>
      <c r="D128" s="17" t="str">
        <f>IFERROR(INDEX('Регистър на риска'!$I:$I,MATCH(A128,'Регистър на риска'!$A:$A,0)),"")</f>
        <v/>
      </c>
      <c r="E128" s="16"/>
      <c r="F128" s="16"/>
      <c r="G128" s="16"/>
      <c r="H128" s="16"/>
      <c r="I128" s="16"/>
      <c r="J128" s="16"/>
      <c r="K128" s="16"/>
      <c r="L128" s="16"/>
      <c r="M128" s="16"/>
      <c r="N128" s="17" t="str">
        <f t="shared" si="1"/>
        <v/>
      </c>
      <c r="O128" s="16"/>
    </row>
    <row r="129" spans="1:15" x14ac:dyDescent="0.3">
      <c r="A129" s="16"/>
      <c r="B129" s="16"/>
      <c r="C129" s="16"/>
      <c r="D129" s="17" t="str">
        <f>IFERROR(INDEX('Регистър на риска'!$I:$I,MATCH(A129,'Регистър на риска'!$A:$A,0)),"")</f>
        <v/>
      </c>
      <c r="E129" s="16"/>
      <c r="F129" s="16"/>
      <c r="G129" s="16"/>
      <c r="H129" s="16"/>
      <c r="I129" s="16"/>
      <c r="J129" s="16"/>
      <c r="K129" s="16"/>
      <c r="L129" s="16"/>
      <c r="M129" s="16"/>
      <c r="N129" s="17" t="str">
        <f t="shared" si="1"/>
        <v/>
      </c>
      <c r="O129" s="16"/>
    </row>
    <row r="130" spans="1:15" x14ac:dyDescent="0.3">
      <c r="A130" s="16"/>
      <c r="B130" s="16"/>
      <c r="C130" s="16"/>
      <c r="D130" s="17" t="str">
        <f>IFERROR(INDEX('Регистър на риска'!$I:$I,MATCH(A130,'Регистър на риска'!$A:$A,0)),"")</f>
        <v/>
      </c>
      <c r="E130" s="16"/>
      <c r="F130" s="16"/>
      <c r="G130" s="16"/>
      <c r="H130" s="16"/>
      <c r="I130" s="16"/>
      <c r="J130" s="16"/>
      <c r="K130" s="16"/>
      <c r="L130" s="16"/>
      <c r="M130" s="16"/>
      <c r="N130" s="17" t="str">
        <f t="shared" ref="N130:N193" si="2">IF(OR(L130="",M130=""),"",L130*M130)</f>
        <v/>
      </c>
      <c r="O130" s="16"/>
    </row>
    <row r="131" spans="1:15" x14ac:dyDescent="0.3">
      <c r="A131" s="16"/>
      <c r="B131" s="16"/>
      <c r="C131" s="16"/>
      <c r="D131" s="17" t="str">
        <f>IFERROR(INDEX('Регистър на риска'!$I:$I,MATCH(A131,'Регистър на риска'!$A:$A,0)),"")</f>
        <v/>
      </c>
      <c r="E131" s="16"/>
      <c r="F131" s="16"/>
      <c r="G131" s="16"/>
      <c r="H131" s="16"/>
      <c r="I131" s="16"/>
      <c r="J131" s="16"/>
      <c r="K131" s="16"/>
      <c r="L131" s="16"/>
      <c r="M131" s="16"/>
      <c r="N131" s="17" t="str">
        <f t="shared" si="2"/>
        <v/>
      </c>
      <c r="O131" s="16"/>
    </row>
    <row r="132" spans="1:15" x14ac:dyDescent="0.3">
      <c r="A132" s="16"/>
      <c r="B132" s="16"/>
      <c r="C132" s="16"/>
      <c r="D132" s="17" t="str">
        <f>IFERROR(INDEX('Регистър на риска'!$I:$I,MATCH(A132,'Регистър на риска'!$A:$A,0)),"")</f>
        <v/>
      </c>
      <c r="E132" s="16"/>
      <c r="F132" s="16"/>
      <c r="G132" s="16"/>
      <c r="H132" s="16"/>
      <c r="I132" s="16"/>
      <c r="J132" s="16"/>
      <c r="K132" s="16"/>
      <c r="L132" s="16"/>
      <c r="M132" s="16"/>
      <c r="N132" s="17" t="str">
        <f t="shared" si="2"/>
        <v/>
      </c>
      <c r="O132" s="16"/>
    </row>
    <row r="133" spans="1:15" x14ac:dyDescent="0.3">
      <c r="A133" s="16"/>
      <c r="B133" s="16"/>
      <c r="C133" s="16"/>
      <c r="D133" s="17" t="str">
        <f>IFERROR(INDEX('Регистър на риска'!$I:$I,MATCH(A133,'Регистър на риска'!$A:$A,0)),"")</f>
        <v/>
      </c>
      <c r="E133" s="16"/>
      <c r="F133" s="16"/>
      <c r="G133" s="16"/>
      <c r="H133" s="16"/>
      <c r="I133" s="16"/>
      <c r="J133" s="16"/>
      <c r="K133" s="16"/>
      <c r="L133" s="16"/>
      <c r="M133" s="16"/>
      <c r="N133" s="17" t="str">
        <f t="shared" si="2"/>
        <v/>
      </c>
      <c r="O133" s="16"/>
    </row>
    <row r="134" spans="1:15" x14ac:dyDescent="0.3">
      <c r="A134" s="16"/>
      <c r="B134" s="16"/>
      <c r="C134" s="16"/>
      <c r="D134" s="17" t="str">
        <f>IFERROR(INDEX('Регистър на риска'!$I:$I,MATCH(A134,'Регистър на риска'!$A:$A,0)),"")</f>
        <v/>
      </c>
      <c r="E134" s="16"/>
      <c r="F134" s="16"/>
      <c r="G134" s="16"/>
      <c r="H134" s="16"/>
      <c r="I134" s="16"/>
      <c r="J134" s="16"/>
      <c r="K134" s="16"/>
      <c r="L134" s="16"/>
      <c r="M134" s="16"/>
      <c r="N134" s="17" t="str">
        <f t="shared" si="2"/>
        <v/>
      </c>
      <c r="O134" s="16"/>
    </row>
    <row r="135" spans="1:15" x14ac:dyDescent="0.3">
      <c r="A135" s="16"/>
      <c r="B135" s="16"/>
      <c r="C135" s="16"/>
      <c r="D135" s="17" t="str">
        <f>IFERROR(INDEX('Регистър на риска'!$I:$I,MATCH(A135,'Регистър на риска'!$A:$A,0)),"")</f>
        <v/>
      </c>
      <c r="E135" s="16"/>
      <c r="F135" s="16"/>
      <c r="G135" s="16"/>
      <c r="H135" s="16"/>
      <c r="I135" s="16"/>
      <c r="J135" s="16"/>
      <c r="K135" s="16"/>
      <c r="L135" s="16"/>
      <c r="M135" s="16"/>
      <c r="N135" s="17" t="str">
        <f t="shared" si="2"/>
        <v/>
      </c>
      <c r="O135" s="16"/>
    </row>
    <row r="136" spans="1:15" x14ac:dyDescent="0.3">
      <c r="A136" s="16"/>
      <c r="B136" s="16"/>
      <c r="C136" s="16"/>
      <c r="D136" s="17" t="str">
        <f>IFERROR(INDEX('Регистър на риска'!$I:$I,MATCH(A136,'Регистър на риска'!$A:$A,0)),"")</f>
        <v/>
      </c>
      <c r="E136" s="16"/>
      <c r="F136" s="16"/>
      <c r="G136" s="16"/>
      <c r="H136" s="16"/>
      <c r="I136" s="16"/>
      <c r="J136" s="16"/>
      <c r="K136" s="16"/>
      <c r="L136" s="16"/>
      <c r="M136" s="16"/>
      <c r="N136" s="17" t="str">
        <f t="shared" si="2"/>
        <v/>
      </c>
      <c r="O136" s="16"/>
    </row>
    <row r="137" spans="1:15" x14ac:dyDescent="0.3">
      <c r="A137" s="16"/>
      <c r="B137" s="16"/>
      <c r="C137" s="16"/>
      <c r="D137" s="17" t="str">
        <f>IFERROR(INDEX('Регистър на риска'!$I:$I,MATCH(A137,'Регистър на риска'!$A:$A,0)),"")</f>
        <v/>
      </c>
      <c r="E137" s="16"/>
      <c r="F137" s="16"/>
      <c r="G137" s="16"/>
      <c r="H137" s="16"/>
      <c r="I137" s="16"/>
      <c r="J137" s="16"/>
      <c r="K137" s="16"/>
      <c r="L137" s="16"/>
      <c r="M137" s="16"/>
      <c r="N137" s="17" t="str">
        <f t="shared" si="2"/>
        <v/>
      </c>
      <c r="O137" s="16"/>
    </row>
    <row r="138" spans="1:15" x14ac:dyDescent="0.3">
      <c r="A138" s="16"/>
      <c r="B138" s="16"/>
      <c r="C138" s="16"/>
      <c r="D138" s="17" t="str">
        <f>IFERROR(INDEX('Регистър на риска'!$I:$I,MATCH(A138,'Регистър на риска'!$A:$A,0)),"")</f>
        <v/>
      </c>
      <c r="E138" s="16"/>
      <c r="F138" s="16"/>
      <c r="G138" s="16"/>
      <c r="H138" s="16"/>
      <c r="I138" s="16"/>
      <c r="J138" s="16"/>
      <c r="K138" s="16"/>
      <c r="L138" s="16"/>
      <c r="M138" s="16"/>
      <c r="N138" s="17" t="str">
        <f t="shared" si="2"/>
        <v/>
      </c>
      <c r="O138" s="16"/>
    </row>
    <row r="139" spans="1:15" x14ac:dyDescent="0.3">
      <c r="A139" s="16"/>
      <c r="B139" s="16"/>
      <c r="C139" s="16"/>
      <c r="D139" s="17" t="str">
        <f>IFERROR(INDEX('Регистър на риска'!$I:$I,MATCH(A139,'Регистър на риска'!$A:$A,0)),"")</f>
        <v/>
      </c>
      <c r="E139" s="16"/>
      <c r="F139" s="16"/>
      <c r="G139" s="16"/>
      <c r="H139" s="16"/>
      <c r="I139" s="16"/>
      <c r="J139" s="16"/>
      <c r="K139" s="16"/>
      <c r="L139" s="16"/>
      <c r="M139" s="16"/>
      <c r="N139" s="17" t="str">
        <f t="shared" si="2"/>
        <v/>
      </c>
      <c r="O139" s="16"/>
    </row>
    <row r="140" spans="1:15" x14ac:dyDescent="0.3">
      <c r="A140" s="16"/>
      <c r="B140" s="16"/>
      <c r="C140" s="16"/>
      <c r="D140" s="17" t="str">
        <f>IFERROR(INDEX('Регистър на риска'!$I:$I,MATCH(A140,'Регистър на риска'!$A:$A,0)),"")</f>
        <v/>
      </c>
      <c r="E140" s="16"/>
      <c r="F140" s="16"/>
      <c r="G140" s="16"/>
      <c r="H140" s="16"/>
      <c r="I140" s="16"/>
      <c r="J140" s="16"/>
      <c r="K140" s="16"/>
      <c r="L140" s="16"/>
      <c r="M140" s="16"/>
      <c r="N140" s="17" t="str">
        <f t="shared" si="2"/>
        <v/>
      </c>
      <c r="O140" s="16"/>
    </row>
    <row r="141" spans="1:15" x14ac:dyDescent="0.3">
      <c r="A141" s="16"/>
      <c r="B141" s="16"/>
      <c r="C141" s="16"/>
      <c r="D141" s="17" t="str">
        <f>IFERROR(INDEX('Регистър на риска'!$I:$I,MATCH(A141,'Регистър на риска'!$A:$A,0)),"")</f>
        <v/>
      </c>
      <c r="E141" s="16"/>
      <c r="F141" s="16"/>
      <c r="G141" s="16"/>
      <c r="H141" s="16"/>
      <c r="I141" s="16"/>
      <c r="J141" s="16"/>
      <c r="K141" s="16"/>
      <c r="L141" s="16"/>
      <c r="M141" s="16"/>
      <c r="N141" s="17" t="str">
        <f t="shared" si="2"/>
        <v/>
      </c>
      <c r="O141" s="16"/>
    </row>
    <row r="142" spans="1:15" x14ac:dyDescent="0.3">
      <c r="A142" s="16"/>
      <c r="B142" s="16"/>
      <c r="C142" s="16"/>
      <c r="D142" s="17" t="str">
        <f>IFERROR(INDEX('Регистър на риска'!$I:$I,MATCH(A142,'Регистър на риска'!$A:$A,0)),"")</f>
        <v/>
      </c>
      <c r="E142" s="16"/>
      <c r="F142" s="16"/>
      <c r="G142" s="16"/>
      <c r="H142" s="16"/>
      <c r="I142" s="16"/>
      <c r="J142" s="16"/>
      <c r="K142" s="16"/>
      <c r="L142" s="16"/>
      <c r="M142" s="16"/>
      <c r="N142" s="17" t="str">
        <f t="shared" si="2"/>
        <v/>
      </c>
      <c r="O142" s="16"/>
    </row>
    <row r="143" spans="1:15" x14ac:dyDescent="0.3">
      <c r="A143" s="16"/>
      <c r="B143" s="16"/>
      <c r="C143" s="16"/>
      <c r="D143" s="17" t="str">
        <f>IFERROR(INDEX('Регистър на риска'!$I:$I,MATCH(A143,'Регистър на риска'!$A:$A,0)),"")</f>
        <v/>
      </c>
      <c r="E143" s="16"/>
      <c r="F143" s="16"/>
      <c r="G143" s="16"/>
      <c r="H143" s="16"/>
      <c r="I143" s="16"/>
      <c r="J143" s="16"/>
      <c r="K143" s="16"/>
      <c r="L143" s="16"/>
      <c r="M143" s="16"/>
      <c r="N143" s="17" t="str">
        <f t="shared" si="2"/>
        <v/>
      </c>
      <c r="O143" s="16"/>
    </row>
    <row r="144" spans="1:15" x14ac:dyDescent="0.3">
      <c r="A144" s="16"/>
      <c r="B144" s="16"/>
      <c r="C144" s="16"/>
      <c r="D144" s="17" t="str">
        <f>IFERROR(INDEX('Регистър на риска'!$I:$I,MATCH(A144,'Регистър на риска'!$A:$A,0)),"")</f>
        <v/>
      </c>
      <c r="E144" s="16"/>
      <c r="F144" s="16"/>
      <c r="G144" s="16"/>
      <c r="H144" s="16"/>
      <c r="I144" s="16"/>
      <c r="J144" s="16"/>
      <c r="K144" s="16"/>
      <c r="L144" s="16"/>
      <c r="M144" s="16"/>
      <c r="N144" s="17" t="str">
        <f t="shared" si="2"/>
        <v/>
      </c>
      <c r="O144" s="16"/>
    </row>
    <row r="145" spans="1:15" x14ac:dyDescent="0.3">
      <c r="A145" s="16"/>
      <c r="B145" s="16"/>
      <c r="C145" s="16"/>
      <c r="D145" s="17" t="str">
        <f>IFERROR(INDEX('Регистър на риска'!$I:$I,MATCH(A145,'Регистър на риска'!$A:$A,0)),"")</f>
        <v/>
      </c>
      <c r="E145" s="16"/>
      <c r="F145" s="16"/>
      <c r="G145" s="16"/>
      <c r="H145" s="16"/>
      <c r="I145" s="16"/>
      <c r="J145" s="16"/>
      <c r="K145" s="16"/>
      <c r="L145" s="16"/>
      <c r="M145" s="16"/>
      <c r="N145" s="17" t="str">
        <f t="shared" si="2"/>
        <v/>
      </c>
      <c r="O145" s="16"/>
    </row>
    <row r="146" spans="1:15" x14ac:dyDescent="0.3">
      <c r="A146" s="16"/>
      <c r="B146" s="16"/>
      <c r="C146" s="16"/>
      <c r="D146" s="17" t="str">
        <f>IFERROR(INDEX('Регистър на риска'!$I:$I,MATCH(A146,'Регистър на риска'!$A:$A,0)),"")</f>
        <v/>
      </c>
      <c r="E146" s="16"/>
      <c r="F146" s="16"/>
      <c r="G146" s="16"/>
      <c r="H146" s="16"/>
      <c r="I146" s="16"/>
      <c r="J146" s="16"/>
      <c r="K146" s="16"/>
      <c r="L146" s="16"/>
      <c r="M146" s="16"/>
      <c r="N146" s="17" t="str">
        <f t="shared" si="2"/>
        <v/>
      </c>
      <c r="O146" s="16"/>
    </row>
    <row r="147" spans="1:15" x14ac:dyDescent="0.3">
      <c r="A147" s="16"/>
      <c r="B147" s="16"/>
      <c r="C147" s="16"/>
      <c r="D147" s="17" t="str">
        <f>IFERROR(INDEX('Регистър на риска'!$I:$I,MATCH(A147,'Регистър на риска'!$A:$A,0)),"")</f>
        <v/>
      </c>
      <c r="E147" s="16"/>
      <c r="F147" s="16"/>
      <c r="G147" s="16"/>
      <c r="H147" s="16"/>
      <c r="I147" s="16"/>
      <c r="J147" s="16"/>
      <c r="K147" s="16"/>
      <c r="L147" s="16"/>
      <c r="M147" s="16"/>
      <c r="N147" s="17" t="str">
        <f t="shared" si="2"/>
        <v/>
      </c>
      <c r="O147" s="16"/>
    </row>
    <row r="148" spans="1:15" x14ac:dyDescent="0.3">
      <c r="A148" s="16"/>
      <c r="B148" s="16"/>
      <c r="C148" s="16"/>
      <c r="D148" s="17" t="str">
        <f>IFERROR(INDEX('Регистър на риска'!$I:$I,MATCH(A148,'Регистър на риска'!$A:$A,0)),"")</f>
        <v/>
      </c>
      <c r="E148" s="16"/>
      <c r="F148" s="16"/>
      <c r="G148" s="16"/>
      <c r="H148" s="16"/>
      <c r="I148" s="16"/>
      <c r="J148" s="16"/>
      <c r="K148" s="16"/>
      <c r="L148" s="16"/>
      <c r="M148" s="16"/>
      <c r="N148" s="17" t="str">
        <f t="shared" si="2"/>
        <v/>
      </c>
      <c r="O148" s="16"/>
    </row>
    <row r="149" spans="1:15" x14ac:dyDescent="0.3">
      <c r="A149" s="16"/>
      <c r="B149" s="16"/>
      <c r="C149" s="16"/>
      <c r="D149" s="17" t="str">
        <f>IFERROR(INDEX('Регистър на риска'!$I:$I,MATCH(A149,'Регистър на риска'!$A:$A,0)),"")</f>
        <v/>
      </c>
      <c r="E149" s="16"/>
      <c r="F149" s="16"/>
      <c r="G149" s="16"/>
      <c r="H149" s="16"/>
      <c r="I149" s="16"/>
      <c r="J149" s="16"/>
      <c r="K149" s="16"/>
      <c r="L149" s="16"/>
      <c r="M149" s="16"/>
      <c r="N149" s="17" t="str">
        <f t="shared" si="2"/>
        <v/>
      </c>
      <c r="O149" s="16"/>
    </row>
    <row r="150" spans="1:15" x14ac:dyDescent="0.3">
      <c r="A150" s="16"/>
      <c r="B150" s="16"/>
      <c r="C150" s="16"/>
      <c r="D150" s="17" t="str">
        <f>IFERROR(INDEX('Регистър на риска'!$I:$I,MATCH(A150,'Регистър на риска'!$A:$A,0)),"")</f>
        <v/>
      </c>
      <c r="E150" s="16"/>
      <c r="F150" s="16"/>
      <c r="G150" s="16"/>
      <c r="H150" s="16"/>
      <c r="I150" s="16"/>
      <c r="J150" s="16"/>
      <c r="K150" s="16"/>
      <c r="L150" s="16"/>
      <c r="M150" s="16"/>
      <c r="N150" s="17" t="str">
        <f t="shared" si="2"/>
        <v/>
      </c>
      <c r="O150" s="16"/>
    </row>
    <row r="151" spans="1:15" x14ac:dyDescent="0.3">
      <c r="A151" s="16"/>
      <c r="B151" s="16"/>
      <c r="C151" s="16"/>
      <c r="D151" s="17" t="str">
        <f>IFERROR(INDEX('Регистър на риска'!$I:$I,MATCH(A151,'Регистър на риска'!$A:$A,0)),"")</f>
        <v/>
      </c>
      <c r="E151" s="16"/>
      <c r="F151" s="16"/>
      <c r="G151" s="16"/>
      <c r="H151" s="16"/>
      <c r="I151" s="16"/>
      <c r="J151" s="16"/>
      <c r="K151" s="16"/>
      <c r="L151" s="16"/>
      <c r="M151" s="16"/>
      <c r="N151" s="17" t="str">
        <f t="shared" si="2"/>
        <v/>
      </c>
      <c r="O151" s="16"/>
    </row>
    <row r="152" spans="1:15" x14ac:dyDescent="0.3">
      <c r="A152" s="16"/>
      <c r="B152" s="16"/>
      <c r="C152" s="16"/>
      <c r="D152" s="17" t="str">
        <f>IFERROR(INDEX('Регистър на риска'!$I:$I,MATCH(A152,'Регистър на риска'!$A:$A,0)),"")</f>
        <v/>
      </c>
      <c r="E152" s="16"/>
      <c r="F152" s="16"/>
      <c r="G152" s="16"/>
      <c r="H152" s="16"/>
      <c r="I152" s="16"/>
      <c r="J152" s="16"/>
      <c r="K152" s="16"/>
      <c r="L152" s="16"/>
      <c r="M152" s="16"/>
      <c r="N152" s="17" t="str">
        <f t="shared" si="2"/>
        <v/>
      </c>
      <c r="O152" s="16"/>
    </row>
    <row r="153" spans="1:15" x14ac:dyDescent="0.3">
      <c r="A153" s="16"/>
      <c r="B153" s="16"/>
      <c r="C153" s="16"/>
      <c r="D153" s="17" t="str">
        <f>IFERROR(INDEX('Регистър на риска'!$I:$I,MATCH(A153,'Регистър на риска'!$A:$A,0)),"")</f>
        <v/>
      </c>
      <c r="E153" s="16"/>
      <c r="F153" s="16"/>
      <c r="G153" s="16"/>
      <c r="H153" s="16"/>
      <c r="I153" s="16"/>
      <c r="J153" s="16"/>
      <c r="K153" s="16"/>
      <c r="L153" s="16"/>
      <c r="M153" s="16"/>
      <c r="N153" s="17" t="str">
        <f t="shared" si="2"/>
        <v/>
      </c>
      <c r="O153" s="16"/>
    </row>
    <row r="154" spans="1:15" x14ac:dyDescent="0.3">
      <c r="A154" s="16"/>
      <c r="B154" s="16"/>
      <c r="C154" s="16"/>
      <c r="D154" s="17" t="str">
        <f>IFERROR(INDEX('Регистър на риска'!$I:$I,MATCH(A154,'Регистър на риска'!$A:$A,0)),"")</f>
        <v/>
      </c>
      <c r="E154" s="16"/>
      <c r="F154" s="16"/>
      <c r="G154" s="16"/>
      <c r="H154" s="16"/>
      <c r="I154" s="16"/>
      <c r="J154" s="16"/>
      <c r="K154" s="16"/>
      <c r="L154" s="16"/>
      <c r="M154" s="16"/>
      <c r="N154" s="17" t="str">
        <f t="shared" si="2"/>
        <v/>
      </c>
      <c r="O154" s="16"/>
    </row>
    <row r="155" spans="1:15" x14ac:dyDescent="0.3">
      <c r="A155" s="16"/>
      <c r="B155" s="16"/>
      <c r="C155" s="16"/>
      <c r="D155" s="17" t="str">
        <f>IFERROR(INDEX('Регистър на риска'!$I:$I,MATCH(A155,'Регистър на риска'!$A:$A,0)),"")</f>
        <v/>
      </c>
      <c r="E155" s="16"/>
      <c r="F155" s="16"/>
      <c r="G155" s="16"/>
      <c r="H155" s="16"/>
      <c r="I155" s="16"/>
      <c r="J155" s="16"/>
      <c r="K155" s="16"/>
      <c r="L155" s="16"/>
      <c r="M155" s="16"/>
      <c r="N155" s="17" t="str">
        <f t="shared" si="2"/>
        <v/>
      </c>
      <c r="O155" s="16"/>
    </row>
    <row r="156" spans="1:15" x14ac:dyDescent="0.3">
      <c r="A156" s="16"/>
      <c r="B156" s="16"/>
      <c r="C156" s="16"/>
      <c r="D156" s="17" t="str">
        <f>IFERROR(INDEX('Регистър на риска'!$I:$I,MATCH(A156,'Регистър на риска'!$A:$A,0)),"")</f>
        <v/>
      </c>
      <c r="E156" s="16"/>
      <c r="F156" s="16"/>
      <c r="G156" s="16"/>
      <c r="H156" s="16"/>
      <c r="I156" s="16"/>
      <c r="J156" s="16"/>
      <c r="K156" s="16"/>
      <c r="L156" s="16"/>
      <c r="M156" s="16"/>
      <c r="N156" s="17" t="str">
        <f t="shared" si="2"/>
        <v/>
      </c>
      <c r="O156" s="16"/>
    </row>
    <row r="157" spans="1:15" x14ac:dyDescent="0.3">
      <c r="A157" s="16"/>
      <c r="B157" s="16"/>
      <c r="C157" s="16"/>
      <c r="D157" s="17" t="str">
        <f>IFERROR(INDEX('Регистър на риска'!$I:$I,MATCH(A157,'Регистър на риска'!$A:$A,0)),"")</f>
        <v/>
      </c>
      <c r="E157" s="16"/>
      <c r="F157" s="16"/>
      <c r="G157" s="16"/>
      <c r="H157" s="16"/>
      <c r="I157" s="16"/>
      <c r="J157" s="16"/>
      <c r="K157" s="16"/>
      <c r="L157" s="16"/>
      <c r="M157" s="16"/>
      <c r="N157" s="17" t="str">
        <f t="shared" si="2"/>
        <v/>
      </c>
      <c r="O157" s="16"/>
    </row>
    <row r="158" spans="1:15" x14ac:dyDescent="0.3">
      <c r="A158" s="16"/>
      <c r="B158" s="16"/>
      <c r="C158" s="16"/>
      <c r="D158" s="17" t="str">
        <f>IFERROR(INDEX('Регистър на риска'!$I:$I,MATCH(A158,'Регистър на риска'!$A:$A,0)),"")</f>
        <v/>
      </c>
      <c r="E158" s="16"/>
      <c r="F158" s="16"/>
      <c r="G158" s="16"/>
      <c r="H158" s="16"/>
      <c r="I158" s="16"/>
      <c r="J158" s="16"/>
      <c r="K158" s="16"/>
      <c r="L158" s="16"/>
      <c r="M158" s="16"/>
      <c r="N158" s="17" t="str">
        <f t="shared" si="2"/>
        <v/>
      </c>
      <c r="O158" s="16"/>
    </row>
    <row r="159" spans="1:15" x14ac:dyDescent="0.3">
      <c r="A159" s="16"/>
      <c r="B159" s="16"/>
      <c r="C159" s="16"/>
      <c r="D159" s="17" t="str">
        <f>IFERROR(INDEX('Регистър на риска'!$I:$I,MATCH(A159,'Регистър на риска'!$A:$A,0)),"")</f>
        <v/>
      </c>
      <c r="E159" s="16"/>
      <c r="F159" s="16"/>
      <c r="G159" s="16"/>
      <c r="H159" s="16"/>
      <c r="I159" s="16"/>
      <c r="J159" s="16"/>
      <c r="K159" s="16"/>
      <c r="L159" s="16"/>
      <c r="M159" s="16"/>
      <c r="N159" s="17" t="str">
        <f t="shared" si="2"/>
        <v/>
      </c>
      <c r="O159" s="16"/>
    </row>
    <row r="160" spans="1:15" x14ac:dyDescent="0.3">
      <c r="A160" s="16"/>
      <c r="B160" s="16"/>
      <c r="C160" s="16"/>
      <c r="D160" s="17" t="str">
        <f>IFERROR(INDEX('Регистър на риска'!$I:$I,MATCH(A160,'Регистър на риска'!$A:$A,0)),"")</f>
        <v/>
      </c>
      <c r="E160" s="16"/>
      <c r="F160" s="16"/>
      <c r="G160" s="16"/>
      <c r="H160" s="16"/>
      <c r="I160" s="16"/>
      <c r="J160" s="16"/>
      <c r="K160" s="16"/>
      <c r="L160" s="16"/>
      <c r="M160" s="16"/>
      <c r="N160" s="17" t="str">
        <f t="shared" si="2"/>
        <v/>
      </c>
      <c r="O160" s="16"/>
    </row>
    <row r="161" spans="1:15" x14ac:dyDescent="0.3">
      <c r="A161" s="16"/>
      <c r="B161" s="16"/>
      <c r="C161" s="16"/>
      <c r="D161" s="17" t="str">
        <f>IFERROR(INDEX('Регистър на риска'!$I:$I,MATCH(A161,'Регистър на риска'!$A:$A,0)),"")</f>
        <v/>
      </c>
      <c r="E161" s="16"/>
      <c r="F161" s="16"/>
      <c r="G161" s="16"/>
      <c r="H161" s="16"/>
      <c r="I161" s="16"/>
      <c r="J161" s="16"/>
      <c r="K161" s="16"/>
      <c r="L161" s="16"/>
      <c r="M161" s="16"/>
      <c r="N161" s="17" t="str">
        <f t="shared" si="2"/>
        <v/>
      </c>
      <c r="O161" s="16"/>
    </row>
    <row r="162" spans="1:15" x14ac:dyDescent="0.3">
      <c r="A162" s="16"/>
      <c r="B162" s="16"/>
      <c r="C162" s="16"/>
      <c r="D162" s="17" t="str">
        <f>IFERROR(INDEX('Регистър на риска'!$I:$I,MATCH(A162,'Регистър на риска'!$A:$A,0)),"")</f>
        <v/>
      </c>
      <c r="E162" s="16"/>
      <c r="F162" s="16"/>
      <c r="G162" s="16"/>
      <c r="H162" s="16"/>
      <c r="I162" s="16"/>
      <c r="J162" s="16"/>
      <c r="K162" s="16"/>
      <c r="L162" s="16"/>
      <c r="M162" s="16"/>
      <c r="N162" s="17" t="str">
        <f t="shared" si="2"/>
        <v/>
      </c>
      <c r="O162" s="16"/>
    </row>
    <row r="163" spans="1:15" x14ac:dyDescent="0.3">
      <c r="A163" s="16"/>
      <c r="B163" s="16"/>
      <c r="C163" s="16"/>
      <c r="D163" s="17" t="str">
        <f>IFERROR(INDEX('Регистър на риска'!$I:$I,MATCH(A163,'Регистър на риска'!$A:$A,0)),"")</f>
        <v/>
      </c>
      <c r="E163" s="16"/>
      <c r="F163" s="16"/>
      <c r="G163" s="16"/>
      <c r="H163" s="16"/>
      <c r="I163" s="16"/>
      <c r="J163" s="16"/>
      <c r="K163" s="16"/>
      <c r="L163" s="16"/>
      <c r="M163" s="16"/>
      <c r="N163" s="17" t="str">
        <f t="shared" si="2"/>
        <v/>
      </c>
      <c r="O163" s="16"/>
    </row>
    <row r="164" spans="1:15" x14ac:dyDescent="0.3">
      <c r="A164" s="16"/>
      <c r="B164" s="16"/>
      <c r="C164" s="16"/>
      <c r="D164" s="17" t="str">
        <f>IFERROR(INDEX('Регистър на риска'!$I:$I,MATCH(A164,'Регистър на риска'!$A:$A,0)),"")</f>
        <v/>
      </c>
      <c r="E164" s="16"/>
      <c r="F164" s="16"/>
      <c r="G164" s="16"/>
      <c r="H164" s="16"/>
      <c r="I164" s="16"/>
      <c r="J164" s="16"/>
      <c r="K164" s="16"/>
      <c r="L164" s="16"/>
      <c r="M164" s="16"/>
      <c r="N164" s="17" t="str">
        <f t="shared" si="2"/>
        <v/>
      </c>
      <c r="O164" s="16"/>
    </row>
    <row r="165" spans="1:15" x14ac:dyDescent="0.3">
      <c r="A165" s="16"/>
      <c r="B165" s="16"/>
      <c r="C165" s="16"/>
      <c r="D165" s="17" t="str">
        <f>IFERROR(INDEX('Регистър на риска'!$I:$I,MATCH(A165,'Регистър на риска'!$A:$A,0)),"")</f>
        <v/>
      </c>
      <c r="E165" s="16"/>
      <c r="F165" s="16"/>
      <c r="G165" s="16"/>
      <c r="H165" s="16"/>
      <c r="I165" s="16"/>
      <c r="J165" s="16"/>
      <c r="K165" s="16"/>
      <c r="L165" s="16"/>
      <c r="M165" s="16"/>
      <c r="N165" s="17" t="str">
        <f t="shared" si="2"/>
        <v/>
      </c>
      <c r="O165" s="16"/>
    </row>
    <row r="166" spans="1:15" x14ac:dyDescent="0.3">
      <c r="A166" s="16"/>
      <c r="B166" s="16"/>
      <c r="C166" s="16"/>
      <c r="D166" s="17" t="str">
        <f>IFERROR(INDEX('Регистър на риска'!$I:$I,MATCH(A166,'Регистър на риска'!$A:$A,0)),"")</f>
        <v/>
      </c>
      <c r="E166" s="16"/>
      <c r="F166" s="16"/>
      <c r="G166" s="16"/>
      <c r="H166" s="16"/>
      <c r="I166" s="16"/>
      <c r="J166" s="16"/>
      <c r="K166" s="16"/>
      <c r="L166" s="16"/>
      <c r="M166" s="16"/>
      <c r="N166" s="17" t="str">
        <f t="shared" si="2"/>
        <v/>
      </c>
      <c r="O166" s="16"/>
    </row>
    <row r="167" spans="1:15" x14ac:dyDescent="0.3">
      <c r="A167" s="16"/>
      <c r="B167" s="16"/>
      <c r="C167" s="16"/>
      <c r="D167" s="17" t="str">
        <f>IFERROR(INDEX('Регистър на риска'!$I:$I,MATCH(A167,'Регистър на риска'!$A:$A,0)),"")</f>
        <v/>
      </c>
      <c r="E167" s="16"/>
      <c r="F167" s="16"/>
      <c r="G167" s="16"/>
      <c r="H167" s="16"/>
      <c r="I167" s="16"/>
      <c r="J167" s="16"/>
      <c r="K167" s="16"/>
      <c r="L167" s="16"/>
      <c r="M167" s="16"/>
      <c r="N167" s="17" t="str">
        <f t="shared" si="2"/>
        <v/>
      </c>
      <c r="O167" s="16"/>
    </row>
    <row r="168" spans="1:15" x14ac:dyDescent="0.3">
      <c r="A168" s="16"/>
      <c r="B168" s="16"/>
      <c r="C168" s="16"/>
      <c r="D168" s="17" t="str">
        <f>IFERROR(INDEX('Регистър на риска'!$I:$I,MATCH(A168,'Регистър на риска'!$A:$A,0)),"")</f>
        <v/>
      </c>
      <c r="E168" s="16"/>
      <c r="F168" s="16"/>
      <c r="G168" s="16"/>
      <c r="H168" s="16"/>
      <c r="I168" s="16"/>
      <c r="J168" s="16"/>
      <c r="K168" s="16"/>
      <c r="L168" s="16"/>
      <c r="M168" s="16"/>
      <c r="N168" s="17" t="str">
        <f t="shared" si="2"/>
        <v/>
      </c>
      <c r="O168" s="16"/>
    </row>
    <row r="169" spans="1:15" x14ac:dyDescent="0.3">
      <c r="A169" s="16"/>
      <c r="B169" s="16"/>
      <c r="C169" s="16"/>
      <c r="D169" s="17" t="str">
        <f>IFERROR(INDEX('Регистър на риска'!$I:$I,MATCH(A169,'Регистър на риска'!$A:$A,0)),"")</f>
        <v/>
      </c>
      <c r="E169" s="16"/>
      <c r="F169" s="16"/>
      <c r="G169" s="16"/>
      <c r="H169" s="16"/>
      <c r="I169" s="16"/>
      <c r="J169" s="16"/>
      <c r="K169" s="16"/>
      <c r="L169" s="16"/>
      <c r="M169" s="16"/>
      <c r="N169" s="17" t="str">
        <f t="shared" si="2"/>
        <v/>
      </c>
      <c r="O169" s="16"/>
    </row>
    <row r="170" spans="1:15" x14ac:dyDescent="0.3">
      <c r="A170" s="16"/>
      <c r="B170" s="16"/>
      <c r="C170" s="16"/>
      <c r="D170" s="17" t="str">
        <f>IFERROR(INDEX('Регистър на риска'!$I:$I,MATCH(A170,'Регистър на риска'!$A:$A,0)),"")</f>
        <v/>
      </c>
      <c r="E170" s="16"/>
      <c r="F170" s="16"/>
      <c r="G170" s="16"/>
      <c r="H170" s="16"/>
      <c r="I170" s="16"/>
      <c r="J170" s="16"/>
      <c r="K170" s="16"/>
      <c r="L170" s="16"/>
      <c r="M170" s="16"/>
      <c r="N170" s="17" t="str">
        <f t="shared" si="2"/>
        <v/>
      </c>
      <c r="O170" s="16"/>
    </row>
    <row r="171" spans="1:15" x14ac:dyDescent="0.3">
      <c r="A171" s="16"/>
      <c r="B171" s="16"/>
      <c r="C171" s="16"/>
      <c r="D171" s="17" t="str">
        <f>IFERROR(INDEX('Регистър на риска'!$I:$I,MATCH(A171,'Регистър на риска'!$A:$A,0)),"")</f>
        <v/>
      </c>
      <c r="E171" s="16"/>
      <c r="F171" s="16"/>
      <c r="G171" s="16"/>
      <c r="H171" s="16"/>
      <c r="I171" s="16"/>
      <c r="J171" s="16"/>
      <c r="K171" s="16"/>
      <c r="L171" s="16"/>
      <c r="M171" s="16"/>
      <c r="N171" s="17" t="str">
        <f t="shared" si="2"/>
        <v/>
      </c>
      <c r="O171" s="16"/>
    </row>
    <row r="172" spans="1:15" x14ac:dyDescent="0.3">
      <c r="A172" s="16"/>
      <c r="B172" s="16"/>
      <c r="C172" s="16"/>
      <c r="D172" s="17" t="str">
        <f>IFERROR(INDEX('Регистър на риска'!$I:$I,MATCH(A172,'Регистър на риска'!$A:$A,0)),"")</f>
        <v/>
      </c>
      <c r="E172" s="16"/>
      <c r="F172" s="16"/>
      <c r="G172" s="16"/>
      <c r="H172" s="16"/>
      <c r="I172" s="16"/>
      <c r="J172" s="16"/>
      <c r="K172" s="16"/>
      <c r="L172" s="16"/>
      <c r="M172" s="16"/>
      <c r="N172" s="17" t="str">
        <f t="shared" si="2"/>
        <v/>
      </c>
      <c r="O172" s="16"/>
    </row>
    <row r="173" spans="1:15" x14ac:dyDescent="0.3">
      <c r="A173" s="16"/>
      <c r="B173" s="16"/>
      <c r="C173" s="16"/>
      <c r="D173" s="17" t="str">
        <f>IFERROR(INDEX('Регистър на риска'!$I:$I,MATCH(A173,'Регистър на риска'!$A:$A,0)),"")</f>
        <v/>
      </c>
      <c r="E173" s="16"/>
      <c r="F173" s="16"/>
      <c r="G173" s="16"/>
      <c r="H173" s="16"/>
      <c r="I173" s="16"/>
      <c r="J173" s="16"/>
      <c r="K173" s="16"/>
      <c r="L173" s="16"/>
      <c r="M173" s="16"/>
      <c r="N173" s="17" t="str">
        <f t="shared" si="2"/>
        <v/>
      </c>
      <c r="O173" s="16"/>
    </row>
    <row r="174" spans="1:15" x14ac:dyDescent="0.3">
      <c r="A174" s="16"/>
      <c r="B174" s="16"/>
      <c r="C174" s="16"/>
      <c r="D174" s="17" t="str">
        <f>IFERROR(INDEX('Регистър на риска'!$I:$I,MATCH(A174,'Регистър на риска'!$A:$A,0)),"")</f>
        <v/>
      </c>
      <c r="E174" s="16"/>
      <c r="F174" s="16"/>
      <c r="G174" s="16"/>
      <c r="H174" s="16"/>
      <c r="I174" s="16"/>
      <c r="J174" s="16"/>
      <c r="K174" s="16"/>
      <c r="L174" s="16"/>
      <c r="M174" s="16"/>
      <c r="N174" s="17" t="str">
        <f t="shared" si="2"/>
        <v/>
      </c>
      <c r="O174" s="16"/>
    </row>
    <row r="175" spans="1:15" x14ac:dyDescent="0.3">
      <c r="A175" s="16"/>
      <c r="B175" s="16"/>
      <c r="C175" s="16"/>
      <c r="D175" s="17" t="str">
        <f>IFERROR(INDEX('Регистър на риска'!$I:$I,MATCH(A175,'Регистър на риска'!$A:$A,0)),"")</f>
        <v/>
      </c>
      <c r="E175" s="16"/>
      <c r="F175" s="16"/>
      <c r="G175" s="16"/>
      <c r="H175" s="16"/>
      <c r="I175" s="16"/>
      <c r="J175" s="16"/>
      <c r="K175" s="16"/>
      <c r="L175" s="16"/>
      <c r="M175" s="16"/>
      <c r="N175" s="17" t="str">
        <f t="shared" si="2"/>
        <v/>
      </c>
      <c r="O175" s="16"/>
    </row>
    <row r="176" spans="1:15" x14ac:dyDescent="0.3">
      <c r="A176" s="16"/>
      <c r="B176" s="16"/>
      <c r="C176" s="16"/>
      <c r="D176" s="17" t="str">
        <f>IFERROR(INDEX('Регистър на риска'!$I:$I,MATCH(A176,'Регистър на риска'!$A:$A,0)),"")</f>
        <v/>
      </c>
      <c r="E176" s="16"/>
      <c r="F176" s="16"/>
      <c r="G176" s="16"/>
      <c r="H176" s="16"/>
      <c r="I176" s="16"/>
      <c r="J176" s="16"/>
      <c r="K176" s="16"/>
      <c r="L176" s="16"/>
      <c r="M176" s="16"/>
      <c r="N176" s="17" t="str">
        <f t="shared" si="2"/>
        <v/>
      </c>
      <c r="O176" s="16"/>
    </row>
    <row r="177" spans="1:15" x14ac:dyDescent="0.3">
      <c r="A177" s="16"/>
      <c r="B177" s="16"/>
      <c r="C177" s="16"/>
      <c r="D177" s="17" t="str">
        <f>IFERROR(INDEX('Регистър на риска'!$I:$I,MATCH(A177,'Регистър на риска'!$A:$A,0)),"")</f>
        <v/>
      </c>
      <c r="E177" s="16"/>
      <c r="F177" s="16"/>
      <c r="G177" s="16"/>
      <c r="H177" s="16"/>
      <c r="I177" s="16"/>
      <c r="J177" s="16"/>
      <c r="K177" s="16"/>
      <c r="L177" s="16"/>
      <c r="M177" s="16"/>
      <c r="N177" s="17" t="str">
        <f t="shared" si="2"/>
        <v/>
      </c>
      <c r="O177" s="16"/>
    </row>
    <row r="178" spans="1:15" x14ac:dyDescent="0.3">
      <c r="A178" s="16"/>
      <c r="B178" s="16"/>
      <c r="C178" s="16"/>
      <c r="D178" s="17" t="str">
        <f>IFERROR(INDEX('Регистър на риска'!$I:$I,MATCH(A178,'Регистър на риска'!$A:$A,0)),"")</f>
        <v/>
      </c>
      <c r="E178" s="16"/>
      <c r="F178" s="16"/>
      <c r="G178" s="16"/>
      <c r="H178" s="16"/>
      <c r="I178" s="16"/>
      <c r="J178" s="16"/>
      <c r="K178" s="16"/>
      <c r="L178" s="16"/>
      <c r="M178" s="16"/>
      <c r="N178" s="17" t="str">
        <f t="shared" si="2"/>
        <v/>
      </c>
      <c r="O178" s="16"/>
    </row>
    <row r="179" spans="1:15" x14ac:dyDescent="0.3">
      <c r="A179" s="16"/>
      <c r="B179" s="16"/>
      <c r="C179" s="16"/>
      <c r="D179" s="17" t="str">
        <f>IFERROR(INDEX('Регистър на риска'!$I:$I,MATCH(A179,'Регистър на риска'!$A:$A,0)),"")</f>
        <v/>
      </c>
      <c r="E179" s="16"/>
      <c r="F179" s="16"/>
      <c r="G179" s="16"/>
      <c r="H179" s="16"/>
      <c r="I179" s="16"/>
      <c r="J179" s="16"/>
      <c r="K179" s="16"/>
      <c r="L179" s="16"/>
      <c r="M179" s="16"/>
      <c r="N179" s="17" t="str">
        <f t="shared" si="2"/>
        <v/>
      </c>
      <c r="O179" s="16"/>
    </row>
    <row r="180" spans="1:15" x14ac:dyDescent="0.3">
      <c r="A180" s="16"/>
      <c r="B180" s="16"/>
      <c r="C180" s="16"/>
      <c r="D180" s="17" t="str">
        <f>IFERROR(INDEX('Регистър на риска'!$I:$I,MATCH(A180,'Регистър на риска'!$A:$A,0)),"")</f>
        <v/>
      </c>
      <c r="E180" s="16"/>
      <c r="F180" s="16"/>
      <c r="G180" s="16"/>
      <c r="H180" s="16"/>
      <c r="I180" s="16"/>
      <c r="J180" s="16"/>
      <c r="K180" s="16"/>
      <c r="L180" s="16"/>
      <c r="M180" s="16"/>
      <c r="N180" s="17" t="str">
        <f t="shared" si="2"/>
        <v/>
      </c>
      <c r="O180" s="16"/>
    </row>
    <row r="181" spans="1:15" x14ac:dyDescent="0.3">
      <c r="A181" s="16"/>
      <c r="B181" s="16"/>
      <c r="C181" s="16"/>
      <c r="D181" s="17" t="str">
        <f>IFERROR(INDEX('Регистър на риска'!$I:$I,MATCH(A181,'Регистър на риска'!$A:$A,0)),"")</f>
        <v/>
      </c>
      <c r="E181" s="16"/>
      <c r="F181" s="16"/>
      <c r="G181" s="16"/>
      <c r="H181" s="16"/>
      <c r="I181" s="16"/>
      <c r="J181" s="16"/>
      <c r="K181" s="16"/>
      <c r="L181" s="16"/>
      <c r="M181" s="16"/>
      <c r="N181" s="17" t="str">
        <f t="shared" si="2"/>
        <v/>
      </c>
      <c r="O181" s="16"/>
    </row>
    <row r="182" spans="1:15" x14ac:dyDescent="0.3">
      <c r="A182" s="16"/>
      <c r="B182" s="16"/>
      <c r="C182" s="16"/>
      <c r="D182" s="17" t="str">
        <f>IFERROR(INDEX('Регистър на риска'!$I:$I,MATCH(A182,'Регистър на риска'!$A:$A,0)),"")</f>
        <v/>
      </c>
      <c r="E182" s="16"/>
      <c r="F182" s="16"/>
      <c r="G182" s="16"/>
      <c r="H182" s="16"/>
      <c r="I182" s="16"/>
      <c r="J182" s="16"/>
      <c r="K182" s="16"/>
      <c r="L182" s="16"/>
      <c r="M182" s="16"/>
      <c r="N182" s="17" t="str">
        <f t="shared" si="2"/>
        <v/>
      </c>
      <c r="O182" s="16"/>
    </row>
    <row r="183" spans="1:15" x14ac:dyDescent="0.3">
      <c r="A183" s="16"/>
      <c r="B183" s="16"/>
      <c r="C183" s="16"/>
      <c r="D183" s="17" t="str">
        <f>IFERROR(INDEX('Регистър на риска'!$I:$I,MATCH(A183,'Регистър на риска'!$A:$A,0)),"")</f>
        <v/>
      </c>
      <c r="E183" s="16"/>
      <c r="F183" s="16"/>
      <c r="G183" s="16"/>
      <c r="H183" s="16"/>
      <c r="I183" s="16"/>
      <c r="J183" s="16"/>
      <c r="K183" s="16"/>
      <c r="L183" s="16"/>
      <c r="M183" s="16"/>
      <c r="N183" s="17" t="str">
        <f t="shared" si="2"/>
        <v/>
      </c>
      <c r="O183" s="16"/>
    </row>
    <row r="184" spans="1:15" x14ac:dyDescent="0.3">
      <c r="A184" s="16"/>
      <c r="B184" s="16"/>
      <c r="C184" s="16"/>
      <c r="D184" s="17" t="str">
        <f>IFERROR(INDEX('Регистър на риска'!$I:$I,MATCH(A184,'Регистър на риска'!$A:$A,0)),"")</f>
        <v/>
      </c>
      <c r="E184" s="16"/>
      <c r="F184" s="16"/>
      <c r="G184" s="16"/>
      <c r="H184" s="16"/>
      <c r="I184" s="16"/>
      <c r="J184" s="16"/>
      <c r="K184" s="16"/>
      <c r="L184" s="16"/>
      <c r="M184" s="16"/>
      <c r="N184" s="17" t="str">
        <f t="shared" si="2"/>
        <v/>
      </c>
      <c r="O184" s="16"/>
    </row>
    <row r="185" spans="1:15" x14ac:dyDescent="0.3">
      <c r="A185" s="16"/>
      <c r="B185" s="16"/>
      <c r="C185" s="16"/>
      <c r="D185" s="17" t="str">
        <f>IFERROR(INDEX('Регистър на риска'!$I:$I,MATCH(A185,'Регистър на риска'!$A:$A,0)),"")</f>
        <v/>
      </c>
      <c r="E185" s="16"/>
      <c r="F185" s="16"/>
      <c r="G185" s="16"/>
      <c r="H185" s="16"/>
      <c r="I185" s="16"/>
      <c r="J185" s="16"/>
      <c r="K185" s="16"/>
      <c r="L185" s="16"/>
      <c r="M185" s="16"/>
      <c r="N185" s="17" t="str">
        <f t="shared" si="2"/>
        <v/>
      </c>
      <c r="O185" s="16"/>
    </row>
    <row r="186" spans="1:15" x14ac:dyDescent="0.3">
      <c r="A186" s="16"/>
      <c r="B186" s="16"/>
      <c r="C186" s="16"/>
      <c r="D186" s="17" t="str">
        <f>IFERROR(INDEX('Регистър на риска'!$I:$I,MATCH(A186,'Регистър на риска'!$A:$A,0)),"")</f>
        <v/>
      </c>
      <c r="E186" s="16"/>
      <c r="F186" s="16"/>
      <c r="G186" s="16"/>
      <c r="H186" s="16"/>
      <c r="I186" s="16"/>
      <c r="J186" s="16"/>
      <c r="K186" s="16"/>
      <c r="L186" s="16"/>
      <c r="M186" s="16"/>
      <c r="N186" s="17" t="str">
        <f t="shared" si="2"/>
        <v/>
      </c>
      <c r="O186" s="16"/>
    </row>
    <row r="187" spans="1:15" x14ac:dyDescent="0.3">
      <c r="A187" s="16"/>
      <c r="B187" s="16"/>
      <c r="C187" s="16"/>
      <c r="D187" s="17" t="str">
        <f>IFERROR(INDEX('Регистър на риска'!$I:$I,MATCH(A187,'Регистър на риска'!$A:$A,0)),"")</f>
        <v/>
      </c>
      <c r="E187" s="16"/>
      <c r="F187" s="16"/>
      <c r="G187" s="16"/>
      <c r="H187" s="16"/>
      <c r="I187" s="16"/>
      <c r="J187" s="16"/>
      <c r="K187" s="16"/>
      <c r="L187" s="16"/>
      <c r="M187" s="16"/>
      <c r="N187" s="17" t="str">
        <f t="shared" si="2"/>
        <v/>
      </c>
      <c r="O187" s="16"/>
    </row>
    <row r="188" spans="1:15" x14ac:dyDescent="0.3">
      <c r="A188" s="16"/>
      <c r="B188" s="16"/>
      <c r="C188" s="16"/>
      <c r="D188" s="17" t="str">
        <f>IFERROR(INDEX('Регистър на риска'!$I:$I,MATCH(A188,'Регистър на риска'!$A:$A,0)),"")</f>
        <v/>
      </c>
      <c r="E188" s="16"/>
      <c r="F188" s="16"/>
      <c r="G188" s="16"/>
      <c r="H188" s="16"/>
      <c r="I188" s="16"/>
      <c r="J188" s="16"/>
      <c r="K188" s="16"/>
      <c r="L188" s="16"/>
      <c r="M188" s="16"/>
      <c r="N188" s="17" t="str">
        <f t="shared" si="2"/>
        <v/>
      </c>
      <c r="O188" s="16"/>
    </row>
    <row r="189" spans="1:15" x14ac:dyDescent="0.3">
      <c r="A189" s="16"/>
      <c r="B189" s="16"/>
      <c r="C189" s="16"/>
      <c r="D189" s="17" t="str">
        <f>IFERROR(INDEX('Регистър на риска'!$I:$I,MATCH(A189,'Регистър на риска'!$A:$A,0)),"")</f>
        <v/>
      </c>
      <c r="E189" s="16"/>
      <c r="F189" s="16"/>
      <c r="G189" s="16"/>
      <c r="H189" s="16"/>
      <c r="I189" s="16"/>
      <c r="J189" s="16"/>
      <c r="K189" s="16"/>
      <c r="L189" s="16"/>
      <c r="M189" s="16"/>
      <c r="N189" s="17" t="str">
        <f t="shared" si="2"/>
        <v/>
      </c>
      <c r="O189" s="16"/>
    </row>
    <row r="190" spans="1:15" x14ac:dyDescent="0.3">
      <c r="A190" s="16"/>
      <c r="B190" s="16"/>
      <c r="C190" s="16"/>
      <c r="D190" s="17" t="str">
        <f>IFERROR(INDEX('Регистър на риска'!$I:$I,MATCH(A190,'Регистър на риска'!$A:$A,0)),"")</f>
        <v/>
      </c>
      <c r="E190" s="16"/>
      <c r="F190" s="16"/>
      <c r="G190" s="16"/>
      <c r="H190" s="16"/>
      <c r="I190" s="16"/>
      <c r="J190" s="16"/>
      <c r="K190" s="16"/>
      <c r="L190" s="16"/>
      <c r="M190" s="16"/>
      <c r="N190" s="17" t="str">
        <f t="shared" si="2"/>
        <v/>
      </c>
      <c r="O190" s="16"/>
    </row>
    <row r="191" spans="1:15" x14ac:dyDescent="0.3">
      <c r="A191" s="16"/>
      <c r="B191" s="16"/>
      <c r="C191" s="16"/>
      <c r="D191" s="17" t="str">
        <f>IFERROR(INDEX('Регистър на риска'!$I:$I,MATCH(A191,'Регистър на риска'!$A:$A,0)),"")</f>
        <v/>
      </c>
      <c r="E191" s="16"/>
      <c r="F191" s="16"/>
      <c r="G191" s="16"/>
      <c r="H191" s="16"/>
      <c r="I191" s="16"/>
      <c r="J191" s="16"/>
      <c r="K191" s="16"/>
      <c r="L191" s="16"/>
      <c r="M191" s="16"/>
      <c r="N191" s="17" t="str">
        <f t="shared" si="2"/>
        <v/>
      </c>
      <c r="O191" s="16"/>
    </row>
    <row r="192" spans="1:15" x14ac:dyDescent="0.3">
      <c r="A192" s="16"/>
      <c r="B192" s="16"/>
      <c r="C192" s="16"/>
      <c r="D192" s="17" t="str">
        <f>IFERROR(INDEX('Регистър на риска'!$I:$I,MATCH(A192,'Регистър на риска'!$A:$A,0)),"")</f>
        <v/>
      </c>
      <c r="E192" s="16"/>
      <c r="F192" s="16"/>
      <c r="G192" s="16"/>
      <c r="H192" s="16"/>
      <c r="I192" s="16"/>
      <c r="J192" s="16"/>
      <c r="K192" s="16"/>
      <c r="L192" s="16"/>
      <c r="M192" s="16"/>
      <c r="N192" s="17" t="str">
        <f t="shared" si="2"/>
        <v/>
      </c>
      <c r="O192" s="16"/>
    </row>
    <row r="193" spans="1:15" x14ac:dyDescent="0.3">
      <c r="A193" s="16"/>
      <c r="B193" s="16"/>
      <c r="C193" s="16"/>
      <c r="D193" s="17" t="str">
        <f>IFERROR(INDEX('Регистър на риска'!$I:$I,MATCH(A193,'Регистър на риска'!$A:$A,0)),"")</f>
        <v/>
      </c>
      <c r="E193" s="16"/>
      <c r="F193" s="16"/>
      <c r="G193" s="16"/>
      <c r="H193" s="16"/>
      <c r="I193" s="16"/>
      <c r="J193" s="16"/>
      <c r="K193" s="16"/>
      <c r="L193" s="16"/>
      <c r="M193" s="16"/>
      <c r="N193" s="17" t="str">
        <f t="shared" si="2"/>
        <v/>
      </c>
      <c r="O193" s="16"/>
    </row>
    <row r="194" spans="1:15" x14ac:dyDescent="0.3">
      <c r="A194" s="16"/>
      <c r="B194" s="16"/>
      <c r="C194" s="16"/>
      <c r="D194" s="17" t="str">
        <f>IFERROR(INDEX('Регистър на риска'!$I:$I,MATCH(A194,'Регистър на риска'!$A:$A,0)),"")</f>
        <v/>
      </c>
      <c r="E194" s="16"/>
      <c r="F194" s="16"/>
      <c r="G194" s="16"/>
      <c r="H194" s="16"/>
      <c r="I194" s="16"/>
      <c r="J194" s="16"/>
      <c r="K194" s="16"/>
      <c r="L194" s="16"/>
      <c r="M194" s="16"/>
      <c r="N194" s="17" t="str">
        <f t="shared" ref="N194:N257" si="3">IF(OR(L194="",M194=""),"",L194*M194)</f>
        <v/>
      </c>
      <c r="O194" s="16"/>
    </row>
    <row r="195" spans="1:15" x14ac:dyDescent="0.3">
      <c r="A195" s="16"/>
      <c r="B195" s="16"/>
      <c r="C195" s="16"/>
      <c r="D195" s="17" t="str">
        <f>IFERROR(INDEX('Регистър на риска'!$I:$I,MATCH(A195,'Регистър на риска'!$A:$A,0)),"")</f>
        <v/>
      </c>
      <c r="E195" s="16"/>
      <c r="F195" s="16"/>
      <c r="G195" s="16"/>
      <c r="H195" s="16"/>
      <c r="I195" s="16"/>
      <c r="J195" s="16"/>
      <c r="K195" s="16"/>
      <c r="L195" s="16"/>
      <c r="M195" s="16"/>
      <c r="N195" s="17" t="str">
        <f t="shared" si="3"/>
        <v/>
      </c>
      <c r="O195" s="16"/>
    </row>
    <row r="196" spans="1:15" x14ac:dyDescent="0.3">
      <c r="A196" s="16"/>
      <c r="B196" s="16"/>
      <c r="C196" s="16"/>
      <c r="D196" s="17" t="str">
        <f>IFERROR(INDEX('Регистър на риска'!$I:$I,MATCH(A196,'Регистър на риска'!$A:$A,0)),"")</f>
        <v/>
      </c>
      <c r="E196" s="16"/>
      <c r="F196" s="16"/>
      <c r="G196" s="16"/>
      <c r="H196" s="16"/>
      <c r="I196" s="16"/>
      <c r="J196" s="16"/>
      <c r="K196" s="16"/>
      <c r="L196" s="16"/>
      <c r="M196" s="16"/>
      <c r="N196" s="17" t="str">
        <f t="shared" si="3"/>
        <v/>
      </c>
      <c r="O196" s="16"/>
    </row>
    <row r="197" spans="1:15" x14ac:dyDescent="0.3">
      <c r="A197" s="16"/>
      <c r="B197" s="16"/>
      <c r="C197" s="16"/>
      <c r="D197" s="17" t="str">
        <f>IFERROR(INDEX('Регистър на риска'!$I:$I,MATCH(A197,'Регистър на риска'!$A:$A,0)),"")</f>
        <v/>
      </c>
      <c r="E197" s="16"/>
      <c r="F197" s="16"/>
      <c r="G197" s="16"/>
      <c r="H197" s="16"/>
      <c r="I197" s="16"/>
      <c r="J197" s="16"/>
      <c r="K197" s="16"/>
      <c r="L197" s="16"/>
      <c r="M197" s="16"/>
      <c r="N197" s="17" t="str">
        <f t="shared" si="3"/>
        <v/>
      </c>
      <c r="O197" s="16"/>
    </row>
    <row r="198" spans="1:15" x14ac:dyDescent="0.3">
      <c r="A198" s="16"/>
      <c r="B198" s="16"/>
      <c r="C198" s="16"/>
      <c r="D198" s="17" t="str">
        <f>IFERROR(INDEX('Регистър на риска'!$I:$I,MATCH(A198,'Регистър на риска'!$A:$A,0)),"")</f>
        <v/>
      </c>
      <c r="E198" s="16"/>
      <c r="F198" s="16"/>
      <c r="G198" s="16"/>
      <c r="H198" s="16"/>
      <c r="I198" s="16"/>
      <c r="J198" s="16"/>
      <c r="K198" s="16"/>
      <c r="L198" s="16"/>
      <c r="M198" s="16"/>
      <c r="N198" s="17" t="str">
        <f t="shared" si="3"/>
        <v/>
      </c>
      <c r="O198" s="16"/>
    </row>
    <row r="199" spans="1:15" x14ac:dyDescent="0.3">
      <c r="A199" s="16"/>
      <c r="B199" s="16"/>
      <c r="C199" s="16"/>
      <c r="D199" s="17" t="str">
        <f>IFERROR(INDEX('Регистър на риска'!$I:$I,MATCH(A199,'Регистър на риска'!$A:$A,0)),"")</f>
        <v/>
      </c>
      <c r="E199" s="16"/>
      <c r="F199" s="16"/>
      <c r="G199" s="16"/>
      <c r="H199" s="16"/>
      <c r="I199" s="16"/>
      <c r="J199" s="16"/>
      <c r="K199" s="16"/>
      <c r="L199" s="16"/>
      <c r="M199" s="16"/>
      <c r="N199" s="17" t="str">
        <f t="shared" si="3"/>
        <v/>
      </c>
      <c r="O199" s="16"/>
    </row>
    <row r="200" spans="1:15" x14ac:dyDescent="0.3">
      <c r="A200" s="16"/>
      <c r="B200" s="16"/>
      <c r="C200" s="16"/>
      <c r="D200" s="17" t="str">
        <f>IFERROR(INDEX('Регистър на риска'!$I:$I,MATCH(A200,'Регистър на риска'!$A:$A,0)),"")</f>
        <v/>
      </c>
      <c r="E200" s="16"/>
      <c r="F200" s="16"/>
      <c r="G200" s="16"/>
      <c r="H200" s="16"/>
      <c r="I200" s="16"/>
      <c r="J200" s="16"/>
      <c r="K200" s="16"/>
      <c r="L200" s="16"/>
      <c r="M200" s="16"/>
      <c r="N200" s="17" t="str">
        <f t="shared" si="3"/>
        <v/>
      </c>
      <c r="O200" s="16"/>
    </row>
    <row r="201" spans="1:15" x14ac:dyDescent="0.3">
      <c r="A201" s="16"/>
      <c r="B201" s="16"/>
      <c r="C201" s="16"/>
      <c r="D201" s="17" t="str">
        <f>IFERROR(INDEX('Регистър на риска'!$I:$I,MATCH(A201,'Регистър на риска'!$A:$A,0)),"")</f>
        <v/>
      </c>
      <c r="E201" s="16"/>
      <c r="F201" s="16"/>
      <c r="G201" s="16"/>
      <c r="H201" s="16"/>
      <c r="I201" s="16"/>
      <c r="J201" s="16"/>
      <c r="K201" s="16"/>
      <c r="L201" s="16"/>
      <c r="M201" s="16"/>
      <c r="N201" s="17" t="str">
        <f t="shared" si="3"/>
        <v/>
      </c>
      <c r="O201" s="16"/>
    </row>
    <row r="202" spans="1:15" x14ac:dyDescent="0.3">
      <c r="A202" s="16"/>
      <c r="B202" s="16"/>
      <c r="C202" s="16"/>
      <c r="D202" s="17" t="str">
        <f>IFERROR(INDEX('Регистър на риска'!$I:$I,MATCH(A202,'Регистър на риска'!$A:$A,0)),"")</f>
        <v/>
      </c>
      <c r="E202" s="16"/>
      <c r="F202" s="16"/>
      <c r="G202" s="16"/>
      <c r="H202" s="16"/>
      <c r="I202" s="16"/>
      <c r="J202" s="16"/>
      <c r="K202" s="16"/>
      <c r="L202" s="16"/>
      <c r="M202" s="16"/>
      <c r="N202" s="17" t="str">
        <f t="shared" si="3"/>
        <v/>
      </c>
      <c r="O202" s="16"/>
    </row>
    <row r="203" spans="1:15" x14ac:dyDescent="0.3">
      <c r="A203" s="16"/>
      <c r="B203" s="16"/>
      <c r="C203" s="16"/>
      <c r="D203" s="17" t="str">
        <f>IFERROR(INDEX('Регистър на риска'!$I:$I,MATCH(A203,'Регистър на риска'!$A:$A,0)),"")</f>
        <v/>
      </c>
      <c r="E203" s="16"/>
      <c r="F203" s="16"/>
      <c r="G203" s="16"/>
      <c r="H203" s="16"/>
      <c r="I203" s="16"/>
      <c r="J203" s="16"/>
      <c r="K203" s="16"/>
      <c r="L203" s="16"/>
      <c r="M203" s="16"/>
      <c r="N203" s="17" t="str">
        <f t="shared" si="3"/>
        <v/>
      </c>
      <c r="O203" s="16"/>
    </row>
    <row r="204" spans="1:15" x14ac:dyDescent="0.3">
      <c r="D204" t="str">
        <f>IFERROR(INDEX('Регистър на риска'!$I:$I,MATCH(A204,'Регистър на риска'!$A:$A,0)),"")</f>
        <v/>
      </c>
      <c r="N204" t="str">
        <f t="shared" si="3"/>
        <v/>
      </c>
    </row>
    <row r="205" spans="1:15" x14ac:dyDescent="0.3">
      <c r="D205" t="str">
        <f>IFERROR(INDEX('Регистър на риска'!$I:$I,MATCH(A205,'Регистър на риска'!$A:$A,0)),"")</f>
        <v/>
      </c>
      <c r="N205" t="str">
        <f t="shared" si="3"/>
        <v/>
      </c>
    </row>
    <row r="206" spans="1:15" x14ac:dyDescent="0.3">
      <c r="D206" t="str">
        <f>IFERROR(INDEX('Регистър на риска'!$I:$I,MATCH(A206,'Регистър на риска'!$A:$A,0)),"")</f>
        <v/>
      </c>
      <c r="N206" t="str">
        <f t="shared" si="3"/>
        <v/>
      </c>
    </row>
    <row r="207" spans="1:15" x14ac:dyDescent="0.3">
      <c r="D207" t="str">
        <f>IFERROR(INDEX('Регистър на риска'!$I:$I,MATCH(A207,'Регистър на риска'!$A:$A,0)),"")</f>
        <v/>
      </c>
      <c r="N207" t="str">
        <f t="shared" si="3"/>
        <v/>
      </c>
    </row>
    <row r="208" spans="1:15" x14ac:dyDescent="0.3">
      <c r="D208" t="str">
        <f>IFERROR(INDEX('Регистър на риска'!$I:$I,MATCH(A208,'Регистър на риска'!$A:$A,0)),"")</f>
        <v/>
      </c>
      <c r="N208" t="str">
        <f t="shared" si="3"/>
        <v/>
      </c>
    </row>
    <row r="209" spans="4:14" x14ac:dyDescent="0.3">
      <c r="D209" t="str">
        <f>IFERROR(INDEX('Регистър на риска'!$I:$I,MATCH(A209,'Регистър на риска'!$A:$A,0)),"")</f>
        <v/>
      </c>
      <c r="N209" t="str">
        <f t="shared" si="3"/>
        <v/>
      </c>
    </row>
    <row r="210" spans="4:14" x14ac:dyDescent="0.3">
      <c r="D210" t="str">
        <f>IFERROR(INDEX('Регистър на риска'!$I:$I,MATCH(A210,'Регистър на риска'!$A:$A,0)),"")</f>
        <v/>
      </c>
      <c r="N210" t="str">
        <f t="shared" si="3"/>
        <v/>
      </c>
    </row>
  </sheetData>
  <conditionalFormatting sqref="D2:D210">
    <cfRule type="cellIs" dxfId="7" priority="2" operator="between">
      <formula>1</formula>
      <formula>4</formula>
    </cfRule>
    <cfRule type="cellIs" dxfId="6" priority="3" operator="between">
      <formula>5</formula>
      <formula>9</formula>
    </cfRule>
    <cfRule type="cellIs" dxfId="5" priority="4" operator="between">
      <formula>10</formula>
      <formula>15</formula>
    </cfRule>
    <cfRule type="cellIs" dxfId="4" priority="5" operator="between">
      <formula>16</formula>
      <formula>25</formula>
    </cfRule>
  </conditionalFormatting>
  <conditionalFormatting sqref="N2:N210">
    <cfRule type="cellIs" dxfId="3" priority="6" operator="between">
      <formula>1</formula>
      <formula>4</formula>
    </cfRule>
    <cfRule type="cellIs" dxfId="2" priority="7" operator="between">
      <formula>5</formula>
      <formula>9</formula>
    </cfRule>
    <cfRule type="cellIs" dxfId="1" priority="8" operator="between">
      <formula>10</formula>
      <formula>15</formula>
    </cfRule>
    <cfRule type="cellIs" dxfId="0" priority="9" operator="between">
      <formula>16</formula>
      <formula>25</formula>
    </cfRule>
  </conditionalFormatting>
  <dataValidations count="3">
    <dataValidation type="list" allowBlank="1" sqref="E2:E210" xr:uid="{00000000-0002-0000-0400-000000000000}">
      <formula1>"намаляване,прехвърляне,избягване,приемане"</formula1>
      <formula2>0</formula2>
    </dataValidation>
    <dataValidation type="list" allowBlank="1" sqref="K2:K210" xr:uid="{00000000-0002-0000-0400-000001000000}">
      <formula1>"планиран,в процес,внедрен,приет"</formula1>
      <formula2>0</formula2>
    </dataValidation>
    <dataValidation type="list" allowBlank="1" sqref="L2:M210" xr:uid="{00000000-0002-0000-0400-000002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zoomScaleNormal="100" workbookViewId="0"/>
  </sheetViews>
  <sheetFormatPr defaultColWidth="8.6640625" defaultRowHeight="14.4" x14ac:dyDescent="0.3"/>
  <cols>
    <col min="1" max="6" width="10" customWidth="1"/>
  </cols>
  <sheetData>
    <row r="1" spans="1:6" x14ac:dyDescent="0.3">
      <c r="A1" s="18" t="s">
        <v>354</v>
      </c>
    </row>
    <row r="3" spans="1:6" x14ac:dyDescent="0.3">
      <c r="A3" t="s">
        <v>355</v>
      </c>
      <c r="B3" s="18">
        <v>1</v>
      </c>
      <c r="C3" s="18">
        <v>2</v>
      </c>
      <c r="D3" s="18">
        <v>3</v>
      </c>
      <c r="E3" s="18">
        <v>4</v>
      </c>
      <c r="F3" s="18">
        <v>5</v>
      </c>
    </row>
    <row r="4" spans="1:6" x14ac:dyDescent="0.3">
      <c r="A4" s="18">
        <v>5</v>
      </c>
      <c r="B4" s="19">
        <f>COUNTIFS('Регистър на риска'!$G:$G,5,'Регистър на риска'!$H:$H,1)</f>
        <v>0</v>
      </c>
      <c r="C4" s="20">
        <f>COUNTIFS('Регистър на риска'!$G:$G,5,'Регистър на риска'!$H:$H,2)</f>
        <v>0</v>
      </c>
      <c r="D4" s="20">
        <f>COUNTIFS('Регистър на риска'!$G:$G,5,'Регистър на риска'!$H:$H,3)</f>
        <v>0</v>
      </c>
      <c r="E4" s="21">
        <f>COUNTIFS('Регистър на риска'!$G:$G,5,'Регистър на риска'!$H:$H,4)</f>
        <v>1</v>
      </c>
      <c r="F4" s="21">
        <f>COUNTIFS('Регистър на риска'!$G:$G,5,'Регистър на риска'!$H:$H,5)</f>
        <v>0</v>
      </c>
    </row>
    <row r="5" spans="1:6" x14ac:dyDescent="0.3">
      <c r="A5" s="18">
        <v>4</v>
      </c>
      <c r="B5" s="22">
        <f>COUNTIFS('Регистър на риска'!$G:$G,4,'Регистър на риска'!$H:$H,1)</f>
        <v>0</v>
      </c>
      <c r="C5" s="19">
        <f>COUNTIFS('Регистър на риска'!$G:$G,4,'Регистър на риска'!$H:$H,2)</f>
        <v>0</v>
      </c>
      <c r="D5" s="20">
        <f>COUNTIFS('Регистър на риска'!$G:$G,4,'Регистър на риска'!$H:$H,3)</f>
        <v>0</v>
      </c>
      <c r="E5" s="21">
        <f>COUNTIFS('Регистър на риска'!$G:$G,4,'Регистър на риска'!$H:$H,4)</f>
        <v>1</v>
      </c>
      <c r="F5" s="21">
        <f>COUNTIFS('Регистър на риска'!$G:$G,4,'Регистър на риска'!$H:$H,5)</f>
        <v>1</v>
      </c>
    </row>
    <row r="6" spans="1:6" x14ac:dyDescent="0.3">
      <c r="A6" s="18">
        <v>3</v>
      </c>
      <c r="B6" s="22">
        <f>COUNTIFS('Регистър на риска'!$G:$G,3,'Регистър на риска'!$H:$H,1)</f>
        <v>0</v>
      </c>
      <c r="C6" s="19">
        <f>COUNTIFS('Регистър на риска'!$G:$G,3,'Регистър на риска'!$H:$H,2)</f>
        <v>0</v>
      </c>
      <c r="D6" s="19">
        <f>COUNTIFS('Регистър на риска'!$G:$G,3,'Регистър на риска'!$H:$H,3)</f>
        <v>1</v>
      </c>
      <c r="E6" s="20">
        <f>COUNTIFS('Регистър на риска'!$G:$G,3,'Регистър на риска'!$H:$H,4)</f>
        <v>4</v>
      </c>
      <c r="F6" s="20">
        <f>COUNTIFS('Регистър на риска'!$G:$G,3,'Регистър на риска'!$H:$H,5)</f>
        <v>1</v>
      </c>
    </row>
    <row r="7" spans="1:6" x14ac:dyDescent="0.3">
      <c r="A7" s="18">
        <v>2</v>
      </c>
      <c r="B7" s="22">
        <f>COUNTIFS('Регистър на риска'!$G:$G,2,'Регистър на риска'!$H:$H,1)</f>
        <v>0</v>
      </c>
      <c r="C7" s="22">
        <f>COUNTIFS('Регистър на риска'!$G:$G,2,'Регистър на риска'!$H:$H,2)</f>
        <v>0</v>
      </c>
      <c r="D7" s="19">
        <f>COUNTIFS('Регистър на риска'!$G:$G,2,'Регистър на риска'!$H:$H,3)</f>
        <v>2</v>
      </c>
      <c r="E7" s="19">
        <f>COUNTIFS('Регистър на риска'!$G:$G,2,'Регистър на риска'!$H:$H,4)</f>
        <v>1</v>
      </c>
      <c r="F7" s="20">
        <f>COUNTIFS('Регистър на риска'!$G:$G,2,'Регистър на риска'!$H:$H,5)</f>
        <v>3</v>
      </c>
    </row>
    <row r="8" spans="1:6" x14ac:dyDescent="0.3">
      <c r="A8" s="18">
        <v>1</v>
      </c>
      <c r="B8" s="22">
        <f>COUNTIFS('Регистър на риска'!$G:$G,1,'Регистър на риска'!$H:$H,1)</f>
        <v>0</v>
      </c>
      <c r="C8" s="22">
        <f>COUNTIFS('Регистър на риска'!$G:$G,1,'Регистър на риска'!$H:$H,2)</f>
        <v>0</v>
      </c>
      <c r="D8" s="22">
        <f>COUNTIFS('Регистър на риска'!$G:$G,1,'Регистър на риска'!$H:$H,3)</f>
        <v>0</v>
      </c>
      <c r="E8" s="22">
        <f>COUNTIFS('Регистър на риска'!$G:$G,1,'Регистър на риска'!$H:$H,4)</f>
        <v>1</v>
      </c>
      <c r="F8" s="19">
        <f>COUNTIFS('Регистър на риска'!$G:$G,1,'Регистър на риска'!$H:$H,5)</f>
        <v>0</v>
      </c>
    </row>
    <row r="10" spans="1:6" x14ac:dyDescent="0.3">
      <c r="A10" t="s">
        <v>356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Инструкции</vt:lpstr>
      <vt:lpstr>Скали</vt:lpstr>
      <vt:lpstr>Регистър на активите</vt:lpstr>
      <vt:lpstr>Регистър на риска</vt:lpstr>
      <vt:lpstr>План за третиране</vt:lpstr>
      <vt:lpstr>Heat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Александър М. Димитров</cp:lastModifiedBy>
  <cp:revision>0</cp:revision>
  <dcterms:created xsi:type="dcterms:W3CDTF">2026-10-07T22:19:43Z</dcterms:created>
  <dcterms:modified xsi:type="dcterms:W3CDTF">2026-10-14T06:17:55Z</dcterms:modified>
  <dc:language>en-US</dc:language>
</cp:coreProperties>
</file>